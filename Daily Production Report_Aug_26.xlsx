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oduction Dashboard\DAshboard\"/>
    </mc:Choice>
  </mc:AlternateContent>
  <xr:revisionPtr revIDLastSave="0" documentId="13_ncr:1_{1A2C20F3-D315-4276-9B6D-59DBA02BD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 + Reactor Status" sheetId="1" r:id="rId1"/>
    <sheet name="CAP + STRUCTURE Status" sheetId="2" r:id="rId2"/>
  </sheets>
  <definedNames>
    <definedName name="_xlnm.Print_Area" localSheetId="1">'CAP + STRUCTURE Status'!$S$1:$X$38</definedName>
    <definedName name="_xlnm.Print_Area" localSheetId="0">'DR + Reactor Status'!$A$1:$K$38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J36" i="1"/>
  <c r="V37" i="2"/>
  <c r="V4" i="2"/>
  <c r="T35" i="2" l="1"/>
  <c r="T33" i="2"/>
  <c r="T31" i="2"/>
  <c r="T30" i="2"/>
  <c r="T29" i="2"/>
  <c r="K35" i="2"/>
  <c r="L35" i="2" s="1"/>
  <c r="G35" i="2"/>
  <c r="E35" i="2"/>
  <c r="C35" i="2"/>
  <c r="L34" i="2"/>
  <c r="G34" i="2"/>
  <c r="E34" i="2"/>
  <c r="C34" i="2"/>
  <c r="K33" i="2"/>
  <c r="L33" i="2" s="1"/>
  <c r="G33" i="2"/>
  <c r="E33" i="2"/>
  <c r="C33" i="2"/>
  <c r="K32" i="2"/>
  <c r="L32" i="2" s="1"/>
  <c r="E32" i="2"/>
  <c r="K31" i="2"/>
  <c r="L31" i="2" s="1"/>
  <c r="G31" i="2"/>
  <c r="E31" i="2"/>
  <c r="C31" i="2"/>
  <c r="K30" i="2"/>
  <c r="L30" i="2" s="1"/>
  <c r="G30" i="2"/>
  <c r="E30" i="2"/>
  <c r="C30" i="2"/>
  <c r="D35" i="1"/>
  <c r="D33" i="1"/>
  <c r="D32" i="1"/>
  <c r="D31" i="1"/>
  <c r="D30" i="1"/>
  <c r="D29" i="1" l="1"/>
  <c r="K29" i="2"/>
  <c r="K27" i="2"/>
  <c r="K28" i="2"/>
  <c r="G28" i="2"/>
  <c r="E28" i="2"/>
  <c r="E29" i="2"/>
  <c r="G26" i="2"/>
  <c r="E26" i="2"/>
  <c r="K24" i="2"/>
  <c r="K25" i="2"/>
  <c r="K26" i="2"/>
  <c r="D28" i="1"/>
  <c r="D26" i="1"/>
  <c r="D25" i="1"/>
  <c r="D24" i="1"/>
  <c r="D22" i="1"/>
  <c r="D23" i="1"/>
  <c r="D21" i="1"/>
  <c r="D18" i="1"/>
  <c r="K23" i="2"/>
  <c r="E23" i="2"/>
  <c r="E24" i="2"/>
  <c r="E25" i="2"/>
  <c r="K22" i="2"/>
  <c r="K21" i="2"/>
  <c r="E19" i="2"/>
  <c r="E20" i="2"/>
  <c r="E21" i="2"/>
  <c r="E22" i="2"/>
  <c r="K17" i="2"/>
  <c r="K18" i="2"/>
  <c r="K19" i="2"/>
  <c r="D16" i="1"/>
  <c r="D17" i="1"/>
  <c r="E17" i="2"/>
  <c r="E18" i="2"/>
  <c r="K16" i="2"/>
  <c r="E16" i="2"/>
  <c r="T13" i="2" l="1"/>
  <c r="T12" i="2"/>
  <c r="D15" i="1"/>
  <c r="K15" i="2"/>
  <c r="D14" i="1" l="1"/>
  <c r="K14" i="2"/>
  <c r="E13" i="2"/>
  <c r="E14" i="2"/>
  <c r="E15" i="2"/>
  <c r="D12" i="1" l="1"/>
  <c r="K13" i="2"/>
  <c r="K12" i="2"/>
  <c r="V11" i="2" l="1"/>
  <c r="T11" i="2"/>
  <c r="D11" i="1" l="1"/>
  <c r="K11" i="2"/>
  <c r="T10" i="2" l="1"/>
  <c r="E36" i="1" l="1"/>
  <c r="E37" i="1"/>
  <c r="C36" i="1"/>
  <c r="C37" i="1"/>
  <c r="K10" i="2"/>
  <c r="E11" i="2"/>
  <c r="E12" i="2"/>
  <c r="V10" i="2"/>
  <c r="T9" i="2" l="1"/>
  <c r="D9" i="1" l="1"/>
  <c r="K9" i="2"/>
  <c r="E9" i="2"/>
  <c r="E10" i="2"/>
  <c r="V8" i="2" l="1"/>
  <c r="U8" i="2"/>
  <c r="T8" i="2"/>
  <c r="T7" i="2"/>
  <c r="D8" i="1" l="1"/>
  <c r="G8" i="2"/>
  <c r="D37" i="2"/>
  <c r="E37" i="2" s="1"/>
  <c r="K8" i="2" l="1"/>
  <c r="E8" i="2"/>
  <c r="D37" i="1" l="1"/>
  <c r="D7" i="1"/>
  <c r="D5" i="1"/>
  <c r="P5" i="2" l="1"/>
  <c r="P7" i="2" s="1"/>
  <c r="P8" i="2" s="1"/>
  <c r="P9" i="2" s="1"/>
  <c r="P10" i="2" s="1"/>
  <c r="P11" i="2" s="1"/>
  <c r="P12" i="2" s="1"/>
  <c r="P14" i="2" s="1"/>
  <c r="P15" i="2" s="1"/>
  <c r="P16" i="2" s="1"/>
  <c r="P17" i="2" s="1"/>
  <c r="P18" i="2" s="1"/>
  <c r="P19" i="2" s="1"/>
  <c r="P21" i="2" s="1"/>
  <c r="P22" i="2" s="1"/>
  <c r="P23" i="2" s="1"/>
  <c r="P24" i="2" s="1"/>
  <c r="P25" i="2" s="1"/>
  <c r="P26" i="2" s="1"/>
  <c r="P28" i="2" s="1"/>
  <c r="P29" i="2" s="1"/>
  <c r="P30" i="2" s="1"/>
  <c r="P31" i="2" s="1"/>
  <c r="P32" i="2" s="1"/>
  <c r="P33" i="2" s="1"/>
  <c r="P34" i="2" s="1"/>
  <c r="P35" i="2" s="1"/>
  <c r="G5" i="2"/>
  <c r="G7" i="2"/>
  <c r="G9" i="2"/>
  <c r="G10" i="2"/>
  <c r="G11" i="2"/>
  <c r="G12" i="2"/>
  <c r="G13" i="2"/>
  <c r="G14" i="2"/>
  <c r="G15" i="2"/>
  <c r="G16" i="2"/>
  <c r="G17" i="2"/>
  <c r="G18" i="2"/>
  <c r="G20" i="2"/>
  <c r="G21" i="2"/>
  <c r="G22" i="2"/>
  <c r="G23" i="2"/>
  <c r="G24" i="2"/>
  <c r="G25" i="2"/>
  <c r="G27" i="2"/>
  <c r="G29" i="2"/>
  <c r="E7" i="2"/>
  <c r="E5" i="2"/>
  <c r="C7" i="2"/>
  <c r="T5" i="2" l="1"/>
  <c r="O37" i="2" l="1"/>
  <c r="O36" i="2"/>
  <c r="N37" i="2"/>
  <c r="N36" i="2"/>
  <c r="M37" i="2"/>
  <c r="M36" i="2"/>
  <c r="J36" i="2"/>
  <c r="I36" i="2"/>
  <c r="H36" i="2"/>
  <c r="J37" i="2"/>
  <c r="I37" i="2"/>
  <c r="H37" i="2"/>
  <c r="F37" i="2"/>
  <c r="G37" i="2" s="1"/>
  <c r="F36" i="2"/>
  <c r="D36" i="2"/>
  <c r="B37" i="2"/>
  <c r="C37" i="2" s="1"/>
  <c r="B36" i="2"/>
  <c r="K5" i="2"/>
  <c r="C6" i="2"/>
  <c r="C8" i="2"/>
  <c r="C9" i="2"/>
  <c r="C10" i="2"/>
  <c r="C11" i="2"/>
  <c r="C12" i="2"/>
  <c r="C14" i="2"/>
  <c r="C15" i="2"/>
  <c r="C16" i="2"/>
  <c r="C17" i="2"/>
  <c r="C18" i="2"/>
  <c r="C19" i="2"/>
  <c r="C21" i="2"/>
  <c r="C22" i="2"/>
  <c r="C23" i="2"/>
  <c r="C24" i="2"/>
  <c r="C25" i="2"/>
  <c r="C26" i="2"/>
  <c r="C28" i="2"/>
  <c r="C29" i="2"/>
  <c r="C5" i="2"/>
  <c r="V36" i="2" l="1"/>
  <c r="W36" i="2"/>
  <c r="W37" i="2" s="1"/>
  <c r="U36" i="2"/>
  <c r="U37" i="2" s="1"/>
  <c r="T36" i="2"/>
  <c r="T37" i="2" s="1"/>
  <c r="K3" i="2"/>
  <c r="L10" i="2" l="1"/>
  <c r="L18" i="2"/>
  <c r="L26" i="2"/>
  <c r="L12" i="2"/>
  <c r="L28" i="2"/>
  <c r="L11" i="2"/>
  <c r="L19" i="2"/>
  <c r="L27" i="2"/>
  <c r="L20" i="2"/>
  <c r="L5" i="2"/>
  <c r="L13" i="2"/>
  <c r="L21" i="2"/>
  <c r="L29" i="2"/>
  <c r="L9" i="2"/>
  <c r="L6" i="2"/>
  <c r="L14" i="2"/>
  <c r="L22" i="2"/>
  <c r="L7" i="2"/>
  <c r="L15" i="2"/>
  <c r="L23" i="2"/>
  <c r="L17" i="2"/>
  <c r="L8" i="2"/>
  <c r="L16" i="2"/>
  <c r="L24" i="2"/>
  <c r="L25" i="2"/>
</calcChain>
</file>

<file path=xl/sharedStrings.xml><?xml version="1.0" encoding="utf-8"?>
<sst xmlns="http://schemas.openxmlformats.org/spreadsheetml/2006/main" count="123" uniqueCount="97">
  <si>
    <t>Date</t>
  </si>
  <si>
    <t>DR block</t>
  </si>
  <si>
    <t>cubicle</t>
  </si>
  <si>
    <t>Asseembly</t>
  </si>
  <si>
    <t>DR ready for testing</t>
  </si>
  <si>
    <t>DR tested ready for inspection.</t>
  </si>
  <si>
    <t>DR  ready for dispatch at CEL</t>
  </si>
  <si>
    <t>DR dispatched to Client</t>
  </si>
  <si>
    <t>Remark / Absentism / M/c Breakdown</t>
  </si>
  <si>
    <t>Target</t>
  </si>
  <si>
    <t>Brought Forward</t>
  </si>
  <si>
    <t>%</t>
  </si>
  <si>
    <t>DAMPING RESISTOR DAILY STATUS</t>
  </si>
  <si>
    <t>Gross Total</t>
  </si>
  <si>
    <t>Net Total</t>
  </si>
  <si>
    <t>In working</t>
  </si>
  <si>
    <t xml:space="preserve">                                         REACTOR DAILY STATUS</t>
  </si>
  <si>
    <t>Reactors WIP</t>
  </si>
  <si>
    <t>Reactors ready for testing</t>
  </si>
  <si>
    <t>Reactors  ready for dispatch at CEL</t>
  </si>
  <si>
    <t>Reactors dispatched to Client</t>
  </si>
  <si>
    <t xml:space="preserve"> </t>
  </si>
  <si>
    <t>Gross TOTAL</t>
  </si>
  <si>
    <t>Net TOTAL</t>
  </si>
  <si>
    <t>In Working</t>
  </si>
  <si>
    <t xml:space="preserve">Elements wound </t>
  </si>
  <si>
    <t>Encasing</t>
  </si>
  <si>
    <t>Welding</t>
  </si>
  <si>
    <t>DYNA</t>
  </si>
  <si>
    <t>ZARA</t>
  </si>
  <si>
    <t>ALEXA</t>
  </si>
  <si>
    <t>TOTAL  VDP</t>
  </si>
  <si>
    <t>In %</t>
  </si>
  <si>
    <t>Capacitors  ready for Inspection at CEL</t>
  </si>
  <si>
    <t>Capacitors  ready for dispatch at CEL</t>
  </si>
  <si>
    <t>Capacitors dispatched to Client</t>
  </si>
  <si>
    <t>Balance</t>
  </si>
  <si>
    <t>TARGET</t>
  </si>
  <si>
    <t>in %</t>
  </si>
  <si>
    <t xml:space="preserve">                                         STRUCTURE DAILY STATUS IN TON</t>
  </si>
  <si>
    <t>Black material ready for galvanising.</t>
  </si>
  <si>
    <t>Material dispatched for galvanising</t>
  </si>
  <si>
    <t>Galvanised Structure  ready for dispatch at CEL + GODOWN</t>
  </si>
  <si>
    <t>Structure dispatched to Client</t>
  </si>
  <si>
    <t>Element winding machine maintenance</t>
  </si>
  <si>
    <r>
      <t>Observation:</t>
    </r>
    <r>
      <rPr>
        <sz val="11"/>
        <color theme="1"/>
        <rFont val="Calibri"/>
        <family val="2"/>
        <scheme val="minor"/>
      </rPr>
      <t xml:space="preserve"> The welding workers are not maintaining the required records in the designated register book.</t>
    </r>
  </si>
  <si>
    <t>Project Name</t>
  </si>
  <si>
    <t>Welspon 7 nos packing</t>
  </si>
  <si>
    <t>Acme rework</t>
  </si>
  <si>
    <t>Not maintaining records from last 7-8 days</t>
  </si>
  <si>
    <t>1.5 light down time</t>
  </si>
  <si>
    <t>Waree 2 block/48  acme block ready in last 3 days</t>
  </si>
  <si>
    <t>Waree</t>
  </si>
  <si>
    <t xml:space="preserve">                                        CAPACITORS DAILY STATUS</t>
  </si>
  <si>
    <t>48 Acme block convert into cubicle and also assembly / Waree 8 block convert into cubicle</t>
  </si>
  <si>
    <t>Acme 1 DR rework / 12 cubicle convert into aseembly</t>
  </si>
  <si>
    <t>Nucon Structure Dispatched</t>
  </si>
  <si>
    <t>waree 4 block /JSW 2</t>
  </si>
  <si>
    <t>Kaveri Capacitor Dispatched</t>
  </si>
  <si>
    <t>Waree 7 block</t>
  </si>
  <si>
    <t xml:space="preserve">HT-02 down for 2 hrs dur to some tech issue </t>
  </si>
  <si>
    <t>HT-2 down for 1 hrs due to air problem</t>
  </si>
  <si>
    <t>rework on waree block</t>
  </si>
  <si>
    <t>HT1-2 both down for 1.5 hrs due to tech problem</t>
  </si>
  <si>
    <t>jsw block make and convert to cubicle</t>
  </si>
  <si>
    <t xml:space="preserve">HT-1 3hrs down due to technical problem  </t>
  </si>
  <si>
    <t>waree</t>
  </si>
  <si>
    <t>JSW</t>
  </si>
  <si>
    <t>HOLIDAY</t>
  </si>
  <si>
    <t>winding machien4 hrs down due to shortage of material</t>
  </si>
  <si>
    <t>encasing low due to shortage of material</t>
  </si>
  <si>
    <t>9 DR nos tested , 5 DR nos ready for testing</t>
  </si>
  <si>
    <t>JSW 6 block reafy and convert into cubicle</t>
  </si>
  <si>
    <t>12 nos acme , 9 nos welspon, 3 nos junifer DR ready for dispatched</t>
  </si>
  <si>
    <t>JSW 2 block and torrent 12 block,JSW 3 cubicle</t>
  </si>
  <si>
    <t>Acme 6 nos DR Dispatched</t>
  </si>
  <si>
    <t>shifting</t>
  </si>
  <si>
    <t>shifting and machine not working</t>
  </si>
  <si>
    <t>As per Mr.Sakharam sir information electricity not available</t>
  </si>
  <si>
    <t xml:space="preserve">JSW 2 block and TATA Karur 12 block </t>
  </si>
  <si>
    <t>TATA Karur 12 block and 6 cubice</t>
  </si>
  <si>
    <t>Tata Karur 12 block and 3 cubicle,4 jsw cubicle</t>
  </si>
  <si>
    <t>JSW 6 nos DR Tested</t>
  </si>
  <si>
    <t>TATA Karur 9 Cubicle and JSW 5 nos DR Assembly Inprocess</t>
  </si>
  <si>
    <t>Element winding machine technical problem</t>
  </si>
  <si>
    <t xml:space="preserve">Bluepine 9 block &amp; TATA karur 9 cubicle </t>
  </si>
  <si>
    <t>Welspon 6 nos DR dispatched</t>
  </si>
  <si>
    <t xml:space="preserve">JSW -1 &amp; Kallam 11 Block </t>
  </si>
  <si>
    <t>Welspon 3 nos DR Dispatched</t>
  </si>
  <si>
    <t>TATA Karur 6 block , 6 cubicle and kallam 9 block</t>
  </si>
  <si>
    <t>JSW 6 nos DR dispatched</t>
  </si>
  <si>
    <t>Tata Kallam 15 block,12 cubible</t>
  </si>
  <si>
    <t xml:space="preserve">6 JSW DR Completed,6 Tested </t>
  </si>
  <si>
    <t>TATA Kallam 12 Block,5 cubicle</t>
  </si>
  <si>
    <t>HT-1 and HT-2 were down for 2 hours for maintenance. Additionally, a foil breakage issue was encountered.</t>
  </si>
  <si>
    <t>box without oil whole</t>
  </si>
  <si>
    <t xml:space="preserve">Due to PPE shortage Element prod. 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</si>
</sst>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\-mmm\-yyyy"/>
    <numFmt numFmtId="166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3" fillId="0" borderId="4" xfId="0" applyFont="1" applyBorder="1" applyAlignment="1">
      <alignment horizontal="center" vertical="center" wrapText="1"/>
    </xf>
    <xf numFmtId="0" fontId="0" fillId="0" borderId="4" xfId="0" applyBorder="1"/>
    <xf numFmtId="165" fontId="0" fillId="3" borderId="4" xfId="0" applyNumberFormat="1" applyFill="1" applyBorder="1"/>
    <xf numFmtId="165" fontId="0" fillId="3" borderId="7" xfId="0" applyNumberFormat="1" applyFill="1" applyBorder="1"/>
    <xf numFmtId="0" fontId="0" fillId="0" borderId="7" xfId="0" applyBorder="1"/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0" fillId="0" borderId="5" xfId="0" applyBorder="1"/>
    <xf numFmtId="0" fontId="0" fillId="3" borderId="4" xfId="0" applyFill="1" applyBorder="1"/>
    <xf numFmtId="165" fontId="0" fillId="3" borderId="6" xfId="0" applyNumberFormat="1" applyFill="1" applyBorder="1"/>
    <xf numFmtId="0" fontId="0" fillId="0" borderId="6" xfId="0" applyBorder="1"/>
    <xf numFmtId="165" fontId="2" fillId="0" borderId="5" xfId="0" applyNumberFormat="1" applyFont="1" applyBorder="1"/>
    <xf numFmtId="164" fontId="2" fillId="0" borderId="5" xfId="0" applyNumberFormat="1" applyFont="1" applyBorder="1"/>
    <xf numFmtId="164" fontId="5" fillId="4" borderId="8" xfId="0" applyNumberFormat="1" applyFont="1" applyFill="1" applyBorder="1" applyAlignment="1">
      <alignment horizontal="left" vertical="top"/>
    </xf>
    <xf numFmtId="0" fontId="0" fillId="4" borderId="9" xfId="0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2" fontId="0" fillId="0" borderId="4" xfId="0" applyNumberForma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2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2" fontId="0" fillId="0" borderId="16" xfId="0" applyNumberForma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164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66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vertical="center" wrapText="1"/>
    </xf>
    <xf numFmtId="164" fontId="3" fillId="0" borderId="5" xfId="0" applyNumberFormat="1" applyFont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4" xfId="1" applyNumberFormat="1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6" xfId="1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0" fontId="0" fillId="0" borderId="5" xfId="1" applyNumberFormat="1" applyFont="1" applyFill="1" applyBorder="1" applyAlignment="1">
      <alignment horizontal="center" vertical="center"/>
    </xf>
    <xf numFmtId="9" fontId="0" fillId="8" borderId="5" xfId="1" applyFont="1" applyFill="1" applyBorder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wrapText="1"/>
    </xf>
    <xf numFmtId="166" fontId="0" fillId="2" borderId="22" xfId="0" applyNumberForma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2" fontId="0" fillId="0" borderId="5" xfId="1" applyNumberFormat="1" applyFont="1" applyFill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0" borderId="17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0" fillId="2" borderId="4" xfId="1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4" xfId="1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wrapText="1"/>
    </xf>
    <xf numFmtId="2" fontId="0" fillId="2" borderId="4" xfId="0" applyNumberFormat="1" applyFill="1" applyBorder="1" applyAlignment="1">
      <alignment horizontal="center" vertical="center" wrapText="1"/>
    </xf>
    <xf numFmtId="166" fontId="0" fillId="2" borderId="23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0" fontId="0" fillId="0" borderId="7" xfId="1" applyNumberFormat="1" applyFont="1" applyFill="1" applyBorder="1" applyAlignment="1">
      <alignment horizontal="center" vertical="center"/>
    </xf>
    <xf numFmtId="9" fontId="0" fillId="8" borderId="7" xfId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wrapText="1"/>
    </xf>
    <xf numFmtId="9" fontId="3" fillId="0" borderId="5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2" fontId="3" fillId="8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9" fontId="3" fillId="3" borderId="5" xfId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9" fontId="9" fillId="10" borderId="7" xfId="1" applyFont="1" applyFill="1" applyBorder="1" applyAlignment="1">
      <alignment horizontal="center" vertical="center"/>
    </xf>
    <xf numFmtId="0" fontId="2" fillId="11" borderId="0" xfId="0" applyFont="1" applyFill="1" applyAlignment="1">
      <alignment wrapText="1"/>
    </xf>
    <xf numFmtId="165" fontId="0" fillId="0" borderId="4" xfId="0" applyNumberFormat="1" applyBorder="1"/>
    <xf numFmtId="2" fontId="0" fillId="0" borderId="4" xfId="0" applyNumberFormat="1" applyBorder="1" applyAlignment="1">
      <alignment vertical="center"/>
    </xf>
    <xf numFmtId="2" fontId="0" fillId="3" borderId="4" xfId="0" applyNumberFormat="1" applyFill="1" applyBorder="1" applyAlignment="1">
      <alignment vertical="center"/>
    </xf>
    <xf numFmtId="165" fontId="2" fillId="0" borderId="4" xfId="0" applyNumberFormat="1" applyFont="1" applyBorder="1"/>
    <xf numFmtId="0" fontId="0" fillId="11" borderId="4" xfId="1" applyNumberFormat="1" applyFont="1" applyFill="1" applyBorder="1" applyAlignment="1">
      <alignment horizontal="left" vertical="top" wrapText="1"/>
    </xf>
    <xf numFmtId="2" fontId="3" fillId="0" borderId="4" xfId="0" applyNumberFormat="1" applyFont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wrapText="1"/>
    </xf>
    <xf numFmtId="165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9" fontId="2" fillId="0" borderId="5" xfId="1" applyFont="1" applyBorder="1"/>
    <xf numFmtId="2" fontId="0" fillId="0" borderId="7" xfId="0" applyNumberFormat="1" applyBorder="1" applyAlignment="1">
      <alignment horizontal="center" vertical="center" wrapText="1"/>
    </xf>
    <xf numFmtId="9" fontId="0" fillId="0" borderId="7" xfId="1" applyFont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165" fontId="10" fillId="12" borderId="4" xfId="0" applyNumberFormat="1" applyFont="1" applyFill="1" applyBorder="1" applyAlignment="1">
      <alignment vertical="top" wrapText="1"/>
    </xf>
    <xf numFmtId="2" fontId="2" fillId="0" borderId="4" xfId="0" applyNumberFormat="1" applyFont="1" applyBorder="1" applyAlignment="1">
      <alignment horizontal="center" vertical="center"/>
    </xf>
    <xf numFmtId="0" fontId="0" fillId="5" borderId="4" xfId="0" applyFill="1" applyBorder="1" applyAlignment="1">
      <alignment wrapText="1"/>
    </xf>
    <xf numFmtId="9" fontId="0" fillId="0" borderId="4" xfId="1" applyFont="1" applyBorder="1" applyAlignment="1">
      <alignment horizontal="center" vertical="center"/>
    </xf>
    <xf numFmtId="0" fontId="0" fillId="5" borderId="4" xfId="0" applyFill="1" applyBorder="1" applyAlignment="1">
      <alignment vertical="top" wrapText="1"/>
    </xf>
    <xf numFmtId="0" fontId="8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165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wrapText="1"/>
    </xf>
    <xf numFmtId="0" fontId="0" fillId="12" borderId="4" xfId="0" applyFill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9" fontId="0" fillId="0" borderId="4" xfId="1" applyFont="1" applyBorder="1" applyAlignment="1">
      <alignment wrapText="1"/>
    </xf>
    <xf numFmtId="165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left" wrapText="1"/>
    </xf>
    <xf numFmtId="165" fontId="0" fillId="0" borderId="6" xfId="0" applyNumberFormat="1" applyBorder="1" applyAlignment="1">
      <alignment wrapText="1"/>
    </xf>
    <xf numFmtId="165" fontId="0" fillId="0" borderId="4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top" wrapText="1"/>
    </xf>
    <xf numFmtId="0" fontId="2" fillId="13" borderId="4" xfId="0" applyFont="1" applyFill="1" applyBorder="1" applyAlignment="1">
      <alignment vertical="top" wrapText="1"/>
    </xf>
    <xf numFmtId="2" fontId="3" fillId="0" borderId="19" xfId="0" applyNumberFormat="1" applyFont="1" applyBorder="1" applyAlignment="1">
      <alignment horizontal="center" vertical="center"/>
    </xf>
    <xf numFmtId="165" fontId="0" fillId="5" borderId="26" xfId="0" applyNumberFormat="1" applyFill="1" applyBorder="1"/>
    <xf numFmtId="165" fontId="0" fillId="5" borderId="27" xfId="0" applyNumberFormat="1" applyFill="1" applyBorder="1"/>
    <xf numFmtId="165" fontId="0" fillId="5" borderId="28" xfId="0" applyNumberFormat="1" applyFill="1" applyBorder="1"/>
    <xf numFmtId="0" fontId="3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 vertical="top"/>
    </xf>
    <xf numFmtId="164" fontId="5" fillId="5" borderId="9" xfId="0" applyNumberFormat="1" applyFont="1" applyFill="1" applyBorder="1" applyAlignment="1">
      <alignment horizontal="center" vertical="top"/>
    </xf>
    <xf numFmtId="164" fontId="5" fillId="5" borderId="10" xfId="0" applyNumberFormat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center" wrapText="1"/>
    </xf>
    <xf numFmtId="164" fontId="5" fillId="6" borderId="8" xfId="0" applyNumberFormat="1" applyFont="1" applyFill="1" applyBorder="1" applyAlignment="1">
      <alignment horizontal="center" vertical="top"/>
    </xf>
    <xf numFmtId="164" fontId="5" fillId="6" borderId="9" xfId="0" applyNumberFormat="1" applyFont="1" applyFill="1" applyBorder="1" applyAlignment="1">
      <alignment horizontal="center" vertical="top"/>
    </xf>
    <xf numFmtId="164" fontId="5" fillId="6" borderId="10" xfId="0" applyNumberFormat="1" applyFont="1" applyFill="1" applyBorder="1" applyAlignment="1">
      <alignment horizontal="center" vertical="top"/>
    </xf>
    <xf numFmtId="0" fontId="0" fillId="9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61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topLeftCell="A24" zoomScale="102" zoomScaleNormal="102" workbookViewId="0">
      <selection activeCell="I39" sqref="I39"/>
    </sheetView>
  </sheetViews>
  <sheetFormatPr defaultRowHeight="14.4" x14ac:dyDescent="0.3"/>
  <cols>
    <col min="1" max="1" width="15.33203125" customWidth="1"/>
    <col min="2" max="2" width="22.44140625" customWidth="1"/>
    <col min="3" max="3" width="12.5546875" customWidth="1"/>
    <col min="4" max="4" width="11.6640625" customWidth="1"/>
    <col min="5" max="5" width="13.77734375" customWidth="1"/>
    <col min="6" max="6" width="15.21875" customWidth="1"/>
    <col min="7" max="7" width="15.33203125" customWidth="1"/>
    <col min="8" max="8" width="16.21875" customWidth="1"/>
    <col min="9" max="9" width="12.6640625" customWidth="1"/>
    <col min="10" max="10" width="12.5546875" customWidth="1"/>
    <col min="11" max="11" width="27.5546875" customWidth="1"/>
    <col min="12" max="12" width="0.88671875" customWidth="1"/>
    <col min="13" max="13" width="16.109375" customWidth="1"/>
    <col min="14" max="14" width="11.5546875" customWidth="1"/>
    <col min="15" max="15" width="14.5546875" customWidth="1"/>
    <col min="16" max="16" width="16" customWidth="1"/>
    <col min="17" max="17" width="16.44140625" customWidth="1"/>
    <col min="18" max="18" width="17.77734375" customWidth="1"/>
  </cols>
  <sheetData>
    <row r="1" spans="1:18" ht="24" thickBot="1" x14ac:dyDescent="0.5">
      <c r="A1" s="156" t="s">
        <v>12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7"/>
      <c r="M1" s="18" t="s">
        <v>16</v>
      </c>
      <c r="N1" s="19"/>
      <c r="O1" s="20"/>
      <c r="P1" s="19"/>
      <c r="Q1" s="19"/>
      <c r="R1" s="21"/>
    </row>
    <row r="2" spans="1:18" ht="57" customHeight="1" thickBot="1" x14ac:dyDescent="0.35">
      <c r="A2" s="9" t="s">
        <v>0</v>
      </c>
      <c r="B2" s="9" t="s">
        <v>46</v>
      </c>
      <c r="C2" s="155" t="s">
        <v>1</v>
      </c>
      <c r="D2" s="155"/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157"/>
      <c r="M2" s="22" t="s">
        <v>0</v>
      </c>
      <c r="N2" s="1" t="s">
        <v>17</v>
      </c>
      <c r="O2" s="1" t="s">
        <v>18</v>
      </c>
      <c r="P2" s="1" t="s">
        <v>19</v>
      </c>
      <c r="Q2" s="1" t="s">
        <v>20</v>
      </c>
      <c r="R2" s="2" t="s">
        <v>8</v>
      </c>
    </row>
    <row r="3" spans="1:18" ht="16.2" thickBot="1" x14ac:dyDescent="0.35">
      <c r="A3" s="10" t="s">
        <v>9</v>
      </c>
      <c r="B3" s="10"/>
      <c r="C3" s="11">
        <v>18</v>
      </c>
      <c r="D3" s="11" t="s">
        <v>11</v>
      </c>
      <c r="E3" s="11">
        <v>9</v>
      </c>
      <c r="F3" s="11">
        <v>3</v>
      </c>
      <c r="G3" s="11"/>
      <c r="H3" s="11"/>
      <c r="I3" s="11"/>
      <c r="J3" s="11"/>
      <c r="K3" s="12"/>
      <c r="L3" s="157"/>
      <c r="M3" s="22"/>
      <c r="N3" s="1"/>
      <c r="O3" s="1"/>
      <c r="P3" s="23"/>
      <c r="Q3" s="1"/>
      <c r="R3" s="2"/>
    </row>
    <row r="4" spans="1:18" ht="16.2" thickBot="1" x14ac:dyDescent="0.35">
      <c r="A4" s="10" t="s">
        <v>10</v>
      </c>
      <c r="B4" s="10" t="s">
        <v>52</v>
      </c>
      <c r="C4" s="11">
        <v>36</v>
      </c>
      <c r="D4" s="12"/>
      <c r="E4" s="11"/>
      <c r="F4" s="11"/>
      <c r="G4" s="11"/>
      <c r="H4" s="11">
        <v>7</v>
      </c>
      <c r="I4" s="11">
        <v>5</v>
      </c>
      <c r="J4" s="11">
        <v>30</v>
      </c>
      <c r="K4" s="12"/>
      <c r="L4" s="157"/>
      <c r="M4" s="24" t="s">
        <v>10</v>
      </c>
      <c r="N4" s="25">
        <v>0</v>
      </c>
      <c r="O4" s="26">
        <v>0</v>
      </c>
      <c r="P4" s="26">
        <v>0</v>
      </c>
      <c r="Q4" s="25">
        <v>0</v>
      </c>
      <c r="R4" s="27"/>
    </row>
    <row r="5" spans="1:18" ht="27.6" customHeight="1" x14ac:dyDescent="0.3">
      <c r="A5" s="7">
        <v>46235</v>
      </c>
      <c r="B5" s="124" t="s">
        <v>47</v>
      </c>
      <c r="C5" s="121">
        <v>22</v>
      </c>
      <c r="D5" s="122">
        <f>IFERROR($C5/$C$3,0)</f>
        <v>1.2222222222222223</v>
      </c>
      <c r="E5" s="84">
        <v>6</v>
      </c>
      <c r="F5" s="84">
        <v>0</v>
      </c>
      <c r="G5" s="84">
        <v>0</v>
      </c>
      <c r="H5" s="84">
        <v>-7</v>
      </c>
      <c r="I5" s="84">
        <v>7</v>
      </c>
      <c r="J5" s="84">
        <v>0</v>
      </c>
      <c r="K5" s="8"/>
      <c r="L5" s="157"/>
      <c r="M5" s="46">
        <v>46235</v>
      </c>
      <c r="N5" s="28"/>
      <c r="O5" s="28"/>
      <c r="P5" s="28"/>
      <c r="Q5" s="28"/>
      <c r="R5" s="29"/>
    </row>
    <row r="6" spans="1:18" x14ac:dyDescent="0.3">
      <c r="A6" s="6">
        <v>46236</v>
      </c>
      <c r="B6" s="110"/>
      <c r="C6" s="123"/>
      <c r="D6" s="123"/>
      <c r="E6" s="123"/>
      <c r="F6" s="123"/>
      <c r="G6" s="123"/>
      <c r="H6" s="123"/>
      <c r="I6" s="123"/>
      <c r="J6" s="123"/>
      <c r="K6" s="13"/>
      <c r="L6" s="157"/>
      <c r="M6" s="46">
        <v>46236</v>
      </c>
      <c r="N6" s="32"/>
      <c r="O6" s="32"/>
      <c r="P6" s="32"/>
      <c r="Q6" s="32"/>
      <c r="R6" s="47"/>
    </row>
    <row r="7" spans="1:18" ht="15.6" x14ac:dyDescent="0.3">
      <c r="A7" s="6">
        <v>46237</v>
      </c>
      <c r="B7" s="111" t="s">
        <v>48</v>
      </c>
      <c r="C7" s="28">
        <v>20</v>
      </c>
      <c r="D7" s="122">
        <f>IFERROR($C7/$C$3,0)</f>
        <v>1.1111111111111112</v>
      </c>
      <c r="E7" s="28">
        <v>0</v>
      </c>
      <c r="F7" s="28">
        <v>7</v>
      </c>
      <c r="G7" s="28">
        <v>0</v>
      </c>
      <c r="H7" s="28">
        <v>0</v>
      </c>
      <c r="I7" s="28">
        <v>0</v>
      </c>
      <c r="J7" s="28">
        <v>0</v>
      </c>
      <c r="K7" s="5"/>
      <c r="L7" s="157"/>
      <c r="M7" s="46">
        <v>46237</v>
      </c>
      <c r="N7" s="28"/>
      <c r="O7" s="28"/>
      <c r="P7" s="28"/>
      <c r="Q7" s="28"/>
      <c r="R7" s="29"/>
    </row>
    <row r="8" spans="1:18" ht="42" customHeight="1" x14ac:dyDescent="0.3">
      <c r="A8" s="6">
        <v>46238</v>
      </c>
      <c r="B8" s="115" t="s">
        <v>51</v>
      </c>
      <c r="C8" s="28">
        <v>8</v>
      </c>
      <c r="D8" s="122">
        <f>IFERROR($C8/$C$3,0)</f>
        <v>0.44444444444444442</v>
      </c>
      <c r="E8" s="28">
        <v>12</v>
      </c>
      <c r="F8" s="28">
        <v>3</v>
      </c>
      <c r="G8" s="28">
        <v>7</v>
      </c>
      <c r="H8" s="28">
        <v>0</v>
      </c>
      <c r="I8" s="28">
        <v>0</v>
      </c>
      <c r="J8" s="28">
        <v>0</v>
      </c>
      <c r="K8" s="5"/>
      <c r="L8" s="157"/>
      <c r="M8" s="46">
        <v>46238</v>
      </c>
      <c r="N8" s="28"/>
      <c r="O8" s="28"/>
      <c r="P8" s="28"/>
      <c r="Q8" s="28"/>
      <c r="R8" s="31"/>
    </row>
    <row r="9" spans="1:18" ht="72" x14ac:dyDescent="0.3">
      <c r="A9" s="6">
        <v>46239</v>
      </c>
      <c r="B9" s="126" t="s">
        <v>54</v>
      </c>
      <c r="C9" s="28">
        <v>7</v>
      </c>
      <c r="D9" s="122">
        <f>IFERROR($C9/$C$3,0)</f>
        <v>0.3888888888888889</v>
      </c>
      <c r="E9" s="28">
        <v>4</v>
      </c>
      <c r="F9" s="28">
        <v>0</v>
      </c>
      <c r="G9" s="28">
        <v>3</v>
      </c>
      <c r="H9" s="28">
        <v>0</v>
      </c>
      <c r="I9" s="28">
        <v>0</v>
      </c>
      <c r="J9" s="28">
        <v>0</v>
      </c>
      <c r="K9" s="125" t="s">
        <v>55</v>
      </c>
      <c r="L9" s="157"/>
      <c r="M9" s="46">
        <v>46239</v>
      </c>
      <c r="N9" s="28"/>
      <c r="O9" s="28"/>
      <c r="P9" s="28"/>
      <c r="Q9" s="28"/>
      <c r="R9" s="29"/>
    </row>
    <row r="10" spans="1:18" x14ac:dyDescent="0.3">
      <c r="A10" s="6">
        <v>46240</v>
      </c>
      <c r="B10" s="108"/>
      <c r="C10" s="28">
        <v>0</v>
      </c>
      <c r="D10" s="122">
        <v>0</v>
      </c>
      <c r="E10" s="28">
        <v>14</v>
      </c>
      <c r="F10" s="28">
        <v>1</v>
      </c>
      <c r="G10" s="28">
        <v>-3</v>
      </c>
      <c r="H10" s="28">
        <v>3</v>
      </c>
      <c r="I10" s="28">
        <v>0</v>
      </c>
      <c r="J10" s="28">
        <v>0</v>
      </c>
      <c r="K10" s="5"/>
      <c r="L10" s="157"/>
      <c r="M10" s="46">
        <v>46240</v>
      </c>
      <c r="N10" s="28"/>
      <c r="O10" s="28"/>
      <c r="P10" s="28"/>
      <c r="Q10" s="28"/>
      <c r="R10" s="30"/>
    </row>
    <row r="11" spans="1:18" x14ac:dyDescent="0.3">
      <c r="A11" s="6">
        <v>46241</v>
      </c>
      <c r="B11" s="108" t="s">
        <v>57</v>
      </c>
      <c r="C11" s="28">
        <v>6</v>
      </c>
      <c r="D11" s="122">
        <f t="shared" ref="D11:D17" si="0">IFERROR($C11/$C$3,0)</f>
        <v>0.33333333333333331</v>
      </c>
      <c r="E11" s="28">
        <v>-18</v>
      </c>
      <c r="F11" s="28">
        <v>0</v>
      </c>
      <c r="G11" s="28">
        <v>1</v>
      </c>
      <c r="H11" s="28">
        <v>0</v>
      </c>
      <c r="I11" s="28">
        <v>0</v>
      </c>
      <c r="J11" s="28">
        <v>0</v>
      </c>
      <c r="K11" s="5"/>
      <c r="L11" s="157"/>
      <c r="M11" s="46">
        <v>46241</v>
      </c>
      <c r="N11" s="28"/>
      <c r="O11" s="28"/>
      <c r="P11" s="28"/>
      <c r="Q11" s="28"/>
      <c r="R11" s="30"/>
    </row>
    <row r="12" spans="1:18" x14ac:dyDescent="0.3">
      <c r="A12" s="6">
        <v>46242</v>
      </c>
      <c r="B12" s="108" t="s">
        <v>59</v>
      </c>
      <c r="C12" s="28">
        <v>7</v>
      </c>
      <c r="D12" s="129">
        <f t="shared" si="0"/>
        <v>0.3888888888888889</v>
      </c>
      <c r="E12" s="28">
        <v>-12</v>
      </c>
      <c r="F12" s="28">
        <v>6</v>
      </c>
      <c r="G12" s="28">
        <v>6</v>
      </c>
      <c r="H12" s="28">
        <v>0</v>
      </c>
      <c r="I12" s="28">
        <v>0</v>
      </c>
      <c r="J12" s="28">
        <v>0</v>
      </c>
      <c r="K12" s="5"/>
      <c r="L12" s="157"/>
      <c r="M12" s="46">
        <v>46242</v>
      </c>
      <c r="N12" s="28"/>
      <c r="O12" s="28"/>
      <c r="P12" s="28"/>
      <c r="Q12" s="28"/>
      <c r="R12" s="30"/>
    </row>
    <row r="13" spans="1:18" x14ac:dyDescent="0.3">
      <c r="A13" s="6">
        <v>46243</v>
      </c>
      <c r="B13" s="110"/>
      <c r="C13" s="123"/>
      <c r="D13" s="123"/>
      <c r="E13" s="123"/>
      <c r="F13" s="123"/>
      <c r="G13" s="123"/>
      <c r="H13" s="123"/>
      <c r="I13" s="123"/>
      <c r="J13" s="123"/>
      <c r="K13" s="13"/>
      <c r="L13" s="157"/>
      <c r="M13" s="46">
        <v>46243</v>
      </c>
      <c r="N13" s="32"/>
      <c r="O13" s="32"/>
      <c r="P13" s="32"/>
      <c r="Q13" s="32"/>
      <c r="R13" s="47"/>
    </row>
    <row r="14" spans="1:18" ht="15.6" x14ac:dyDescent="0.3">
      <c r="A14" s="6">
        <v>46244</v>
      </c>
      <c r="B14" s="108" t="s">
        <v>62</v>
      </c>
      <c r="C14" s="28">
        <v>4</v>
      </c>
      <c r="D14" s="129">
        <f t="shared" si="0"/>
        <v>0.22222222222222221</v>
      </c>
      <c r="E14" s="28">
        <v>5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5"/>
      <c r="L14" s="157"/>
      <c r="M14" s="46">
        <v>46244</v>
      </c>
      <c r="N14" s="28"/>
      <c r="O14" s="28"/>
      <c r="P14" s="28"/>
      <c r="Q14" s="28"/>
      <c r="R14" s="29"/>
    </row>
    <row r="15" spans="1:18" x14ac:dyDescent="0.3">
      <c r="A15" s="6">
        <v>46245</v>
      </c>
      <c r="B15" s="108" t="s">
        <v>64</v>
      </c>
      <c r="C15" s="28">
        <v>14</v>
      </c>
      <c r="D15" s="129">
        <f t="shared" si="0"/>
        <v>0.77777777777777779</v>
      </c>
      <c r="E15" s="28">
        <v>12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5"/>
      <c r="L15" s="157"/>
      <c r="M15" s="46">
        <v>46245</v>
      </c>
      <c r="N15" s="28"/>
      <c r="O15" s="28"/>
      <c r="P15" s="28"/>
      <c r="Q15" s="28"/>
      <c r="R15" s="30"/>
    </row>
    <row r="16" spans="1:18" ht="15.6" x14ac:dyDescent="0.3">
      <c r="A16" s="6">
        <v>46246</v>
      </c>
      <c r="B16" s="108" t="s">
        <v>66</v>
      </c>
      <c r="C16" s="28">
        <v>11</v>
      </c>
      <c r="D16" s="129">
        <f t="shared" si="0"/>
        <v>0.61111111111111116</v>
      </c>
      <c r="E16" s="28">
        <v>7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5"/>
      <c r="L16" s="157"/>
      <c r="M16" s="46">
        <v>46246</v>
      </c>
      <c r="N16" s="28"/>
      <c r="O16" s="28"/>
      <c r="P16" s="28"/>
      <c r="Q16" s="28"/>
      <c r="R16" s="29"/>
    </row>
    <row r="17" spans="1:18" x14ac:dyDescent="0.3">
      <c r="A17" s="6">
        <v>46247</v>
      </c>
      <c r="B17" s="108" t="s">
        <v>67</v>
      </c>
      <c r="C17" s="28">
        <v>12</v>
      </c>
      <c r="D17" s="129">
        <f t="shared" si="0"/>
        <v>0.66666666666666663</v>
      </c>
      <c r="E17" s="28">
        <v>8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5"/>
      <c r="L17" s="157"/>
      <c r="M17" s="46">
        <v>46247</v>
      </c>
      <c r="N17" s="28"/>
      <c r="O17" s="28"/>
      <c r="P17" s="28"/>
      <c r="Q17" s="28"/>
      <c r="R17" s="30"/>
    </row>
    <row r="18" spans="1:18" x14ac:dyDescent="0.3">
      <c r="A18" s="6">
        <v>46248</v>
      </c>
      <c r="B18" s="108" t="s">
        <v>67</v>
      </c>
      <c r="C18" s="109">
        <v>10</v>
      </c>
      <c r="D18" s="129">
        <f>IFERROR($C18/$C$3,0)</f>
        <v>0.55555555555555558</v>
      </c>
      <c r="E18" s="109">
        <v>4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5"/>
      <c r="L18" s="157"/>
      <c r="M18" s="46">
        <v>46248</v>
      </c>
      <c r="N18" s="28"/>
      <c r="O18" s="28"/>
      <c r="P18" s="28"/>
      <c r="Q18" s="28"/>
      <c r="R18" s="30"/>
    </row>
    <row r="19" spans="1:18" x14ac:dyDescent="0.3">
      <c r="A19" s="6">
        <v>46249</v>
      </c>
      <c r="B19" s="152" t="s">
        <v>68</v>
      </c>
      <c r="C19" s="153"/>
      <c r="D19" s="153"/>
      <c r="E19" s="153"/>
      <c r="F19" s="153"/>
      <c r="G19" s="153"/>
      <c r="H19" s="153"/>
      <c r="I19" s="153"/>
      <c r="J19" s="154"/>
      <c r="K19" s="5"/>
      <c r="L19" s="157"/>
      <c r="M19" s="46">
        <v>46249</v>
      </c>
      <c r="N19" s="28"/>
      <c r="O19" s="28"/>
      <c r="P19" s="28"/>
      <c r="Q19" s="28"/>
      <c r="R19" s="30"/>
    </row>
    <row r="20" spans="1:18" x14ac:dyDescent="0.3">
      <c r="A20" s="6">
        <v>46250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3"/>
      <c r="L20" s="157"/>
      <c r="M20" s="46">
        <v>46250</v>
      </c>
      <c r="N20" s="32"/>
      <c r="O20" s="32"/>
      <c r="P20" s="32"/>
      <c r="Q20" s="32"/>
      <c r="R20" s="47"/>
    </row>
    <row r="21" spans="1:18" ht="28.8" x14ac:dyDescent="0.3">
      <c r="A21" s="6">
        <v>46251</v>
      </c>
      <c r="B21" s="134" t="s">
        <v>67</v>
      </c>
      <c r="C21" s="28">
        <v>12</v>
      </c>
      <c r="D21" s="129">
        <f>IFERROR($C21/$C$3,0)</f>
        <v>0.66666666666666663</v>
      </c>
      <c r="E21" s="28">
        <v>5</v>
      </c>
      <c r="F21" s="28">
        <v>5</v>
      </c>
      <c r="G21" s="28">
        <v>5</v>
      </c>
      <c r="H21" s="28">
        <v>9</v>
      </c>
      <c r="I21" s="28">
        <v>0</v>
      </c>
      <c r="J21" s="28">
        <v>0</v>
      </c>
      <c r="K21" s="136" t="s">
        <v>71</v>
      </c>
      <c r="L21" s="157"/>
      <c r="M21" s="46">
        <v>46251</v>
      </c>
      <c r="N21" s="28"/>
      <c r="O21" s="28"/>
      <c r="P21" s="28"/>
      <c r="Q21" s="28"/>
      <c r="R21" s="29"/>
    </row>
    <row r="22" spans="1:18" ht="43.2" x14ac:dyDescent="0.3">
      <c r="A22" s="6">
        <v>46252</v>
      </c>
      <c r="B22" s="135" t="s">
        <v>72</v>
      </c>
      <c r="C22" s="28">
        <v>6</v>
      </c>
      <c r="D22" s="129">
        <f t="shared" ref="D22:D35" si="1">IFERROR($C22/$C$3,0)</f>
        <v>0.33333333333333331</v>
      </c>
      <c r="E22" s="28">
        <v>8</v>
      </c>
      <c r="F22" s="28">
        <v>1</v>
      </c>
      <c r="G22" s="28">
        <v>1</v>
      </c>
      <c r="H22" s="28">
        <v>0</v>
      </c>
      <c r="I22" s="28">
        <v>12</v>
      </c>
      <c r="J22" s="28">
        <v>0</v>
      </c>
      <c r="K22" s="136" t="s">
        <v>73</v>
      </c>
      <c r="L22" s="157"/>
      <c r="M22" s="46">
        <v>46252</v>
      </c>
      <c r="N22" s="28"/>
      <c r="O22" s="33"/>
      <c r="P22" s="28"/>
      <c r="Q22" s="28"/>
      <c r="R22" s="30"/>
    </row>
    <row r="23" spans="1:18" ht="28.8" x14ac:dyDescent="0.3">
      <c r="A23" s="6">
        <v>46253</v>
      </c>
      <c r="B23" s="135" t="s">
        <v>74</v>
      </c>
      <c r="C23" s="28">
        <v>14</v>
      </c>
      <c r="D23" s="129">
        <f t="shared" si="1"/>
        <v>0.77777777777777779</v>
      </c>
      <c r="E23" s="28">
        <v>3</v>
      </c>
      <c r="F23" s="28">
        <v>0</v>
      </c>
      <c r="G23" s="28">
        <v>0</v>
      </c>
      <c r="H23" s="28">
        <v>0</v>
      </c>
      <c r="I23" s="28">
        <v>0</v>
      </c>
      <c r="J23" s="28">
        <v>6</v>
      </c>
      <c r="K23" s="137" t="s">
        <v>75</v>
      </c>
      <c r="L23" s="157"/>
      <c r="M23" s="46">
        <v>46253</v>
      </c>
      <c r="N23" s="28"/>
      <c r="O23" s="28"/>
      <c r="P23" s="28"/>
      <c r="Q23" s="28"/>
      <c r="R23" s="29"/>
    </row>
    <row r="24" spans="1:18" ht="28.8" x14ac:dyDescent="0.3">
      <c r="A24" s="6">
        <v>46254</v>
      </c>
      <c r="B24" s="139" t="s">
        <v>79</v>
      </c>
      <c r="C24" s="28">
        <v>14</v>
      </c>
      <c r="D24" s="129">
        <f t="shared" si="1"/>
        <v>0.77777777777777779</v>
      </c>
      <c r="E24" s="28">
        <v>0</v>
      </c>
      <c r="F24" s="138">
        <v>3</v>
      </c>
      <c r="G24" s="28">
        <v>3</v>
      </c>
      <c r="H24" s="28">
        <v>0</v>
      </c>
      <c r="I24" s="28">
        <v>0</v>
      </c>
      <c r="J24" s="28">
        <v>6</v>
      </c>
      <c r="K24" s="137" t="s">
        <v>75</v>
      </c>
      <c r="L24" s="157"/>
      <c r="M24" s="46">
        <v>46254</v>
      </c>
      <c r="N24" s="28"/>
      <c r="O24" s="28"/>
      <c r="P24" s="28"/>
      <c r="Q24" s="28"/>
      <c r="R24" s="30"/>
    </row>
    <row r="25" spans="1:18" ht="28.8" x14ac:dyDescent="0.3">
      <c r="A25" s="6">
        <v>46255</v>
      </c>
      <c r="B25" s="139" t="s">
        <v>80</v>
      </c>
      <c r="C25" s="28">
        <v>12</v>
      </c>
      <c r="D25" s="129">
        <f t="shared" si="1"/>
        <v>0.66666666666666663</v>
      </c>
      <c r="E25" s="28">
        <v>6</v>
      </c>
      <c r="F25" s="28">
        <v>3</v>
      </c>
      <c r="G25" s="28">
        <v>3</v>
      </c>
      <c r="H25" s="28">
        <v>0</v>
      </c>
      <c r="I25" s="28">
        <v>0</v>
      </c>
      <c r="J25" s="28">
        <v>0</v>
      </c>
      <c r="K25" s="5"/>
      <c r="L25" s="157"/>
      <c r="M25" s="46">
        <v>46255</v>
      </c>
      <c r="N25" s="28"/>
      <c r="O25" s="28"/>
      <c r="P25" s="28"/>
      <c r="Q25" s="28"/>
      <c r="R25" s="30"/>
    </row>
    <row r="26" spans="1:18" ht="28.8" x14ac:dyDescent="0.3">
      <c r="A26" s="6">
        <v>46256</v>
      </c>
      <c r="B26" s="139" t="s">
        <v>81</v>
      </c>
      <c r="C26" s="28">
        <v>12</v>
      </c>
      <c r="D26" s="129">
        <f t="shared" si="1"/>
        <v>0.66666666666666663</v>
      </c>
      <c r="E26" s="28">
        <v>7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5" t="s">
        <v>82</v>
      </c>
      <c r="L26" s="157"/>
      <c r="M26" s="46">
        <v>46256</v>
      </c>
      <c r="N26" s="28"/>
      <c r="O26" s="28"/>
      <c r="P26" s="28"/>
      <c r="Q26" s="28"/>
      <c r="R26" s="30"/>
    </row>
    <row r="27" spans="1:18" x14ac:dyDescent="0.3">
      <c r="A27" s="6">
        <v>46257</v>
      </c>
      <c r="B27" s="110"/>
      <c r="C27" s="123"/>
      <c r="D27" s="123"/>
      <c r="E27" s="123"/>
      <c r="F27" s="123"/>
      <c r="G27" s="123"/>
      <c r="H27" s="123"/>
      <c r="I27" s="123"/>
      <c r="J27" s="123"/>
      <c r="K27" s="13"/>
      <c r="L27" s="157"/>
      <c r="M27" s="46">
        <v>46257</v>
      </c>
      <c r="N27" s="32"/>
      <c r="O27" s="32"/>
      <c r="P27" s="32"/>
      <c r="Q27" s="32"/>
      <c r="R27" s="47"/>
    </row>
    <row r="28" spans="1:18" ht="43.2" x14ac:dyDescent="0.3">
      <c r="A28" s="6">
        <v>46258</v>
      </c>
      <c r="B28" s="139" t="s">
        <v>83</v>
      </c>
      <c r="C28" s="28">
        <v>0</v>
      </c>
      <c r="D28" s="129">
        <f t="shared" si="1"/>
        <v>0</v>
      </c>
      <c r="E28" s="28">
        <v>9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5"/>
      <c r="L28" s="157"/>
      <c r="M28" s="46">
        <v>46258</v>
      </c>
      <c r="N28" s="28"/>
      <c r="O28" s="28"/>
      <c r="P28" s="28"/>
      <c r="Q28" s="28"/>
      <c r="R28" s="29"/>
    </row>
    <row r="29" spans="1:18" ht="28.8" x14ac:dyDescent="0.3">
      <c r="A29" s="6">
        <v>46259</v>
      </c>
      <c r="B29" s="146" t="s">
        <v>85</v>
      </c>
      <c r="C29" s="28">
        <v>9</v>
      </c>
      <c r="D29" s="129">
        <f t="shared" si="1"/>
        <v>0.5</v>
      </c>
      <c r="E29" s="28">
        <v>9</v>
      </c>
      <c r="F29" s="28">
        <v>5</v>
      </c>
      <c r="G29" s="28">
        <v>5</v>
      </c>
      <c r="H29" s="28">
        <v>0</v>
      </c>
      <c r="I29" s="28">
        <v>0</v>
      </c>
      <c r="J29" s="28">
        <v>6</v>
      </c>
      <c r="K29" s="141" t="s">
        <v>86</v>
      </c>
      <c r="L29" s="157"/>
      <c r="M29" s="46">
        <v>46259</v>
      </c>
      <c r="N29" s="28"/>
      <c r="O29" s="28"/>
      <c r="P29" s="28"/>
      <c r="Q29" s="28"/>
      <c r="R29" s="34"/>
    </row>
    <row r="30" spans="1:18" ht="15.6" x14ac:dyDescent="0.3">
      <c r="A30" s="6">
        <v>46260</v>
      </c>
      <c r="B30" s="108" t="s">
        <v>87</v>
      </c>
      <c r="C30" s="28">
        <v>12</v>
      </c>
      <c r="D30" s="129">
        <f t="shared" si="1"/>
        <v>0.66666666666666663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3</v>
      </c>
      <c r="K30" s="141" t="s">
        <v>88</v>
      </c>
      <c r="L30" s="157"/>
      <c r="M30" s="46">
        <v>46260</v>
      </c>
      <c r="N30" s="28"/>
      <c r="O30" s="28"/>
      <c r="P30" s="28"/>
      <c r="Q30" s="28"/>
      <c r="R30" s="29"/>
    </row>
    <row r="31" spans="1:18" ht="28.8" x14ac:dyDescent="0.3">
      <c r="A31" s="6">
        <v>46261</v>
      </c>
      <c r="B31" s="142" t="s">
        <v>89</v>
      </c>
      <c r="C31" s="28">
        <v>15</v>
      </c>
      <c r="D31" s="129">
        <f t="shared" si="1"/>
        <v>0.83333333333333337</v>
      </c>
      <c r="E31" s="28">
        <v>6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5"/>
      <c r="L31" s="157"/>
      <c r="M31" s="46">
        <v>46261</v>
      </c>
      <c r="N31" s="28"/>
      <c r="O31" s="28"/>
      <c r="P31" s="28"/>
      <c r="Q31" s="28"/>
      <c r="R31" s="30"/>
    </row>
    <row r="32" spans="1:18" x14ac:dyDescent="0.3">
      <c r="A32" s="6">
        <v>46262</v>
      </c>
      <c r="B32" s="143"/>
      <c r="C32" s="28">
        <v>0</v>
      </c>
      <c r="D32" s="129">
        <f t="shared" si="1"/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6</v>
      </c>
      <c r="K32" s="141" t="s">
        <v>90</v>
      </c>
      <c r="L32" s="157"/>
      <c r="M32" s="46">
        <v>46262</v>
      </c>
      <c r="N32" s="28"/>
      <c r="O32" s="28"/>
      <c r="P32" s="28"/>
      <c r="Q32" s="28"/>
      <c r="R32" s="30"/>
    </row>
    <row r="33" spans="1:18" ht="28.8" x14ac:dyDescent="0.3">
      <c r="A33" s="6">
        <v>46263</v>
      </c>
      <c r="B33" s="144" t="s">
        <v>91</v>
      </c>
      <c r="C33" s="28">
        <v>15</v>
      </c>
      <c r="D33" s="129">
        <f t="shared" si="1"/>
        <v>0.83333333333333337</v>
      </c>
      <c r="E33" s="28">
        <v>12</v>
      </c>
      <c r="F33" s="28">
        <v>6</v>
      </c>
      <c r="G33" s="28">
        <v>6</v>
      </c>
      <c r="H33" s="28">
        <v>6</v>
      </c>
      <c r="I33" s="28">
        <v>6</v>
      </c>
      <c r="J33" s="28">
        <v>0</v>
      </c>
      <c r="K33" s="141" t="s">
        <v>92</v>
      </c>
      <c r="L33" s="157"/>
      <c r="M33" s="46">
        <v>46263</v>
      </c>
      <c r="N33" s="28"/>
      <c r="O33" s="28"/>
      <c r="P33" s="28"/>
      <c r="Q33" s="28"/>
      <c r="R33" s="30"/>
    </row>
    <row r="34" spans="1:18" x14ac:dyDescent="0.3">
      <c r="A34" s="6">
        <v>46264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3"/>
      <c r="L34" s="157"/>
      <c r="M34" s="46">
        <v>46264</v>
      </c>
      <c r="N34" s="32"/>
      <c r="O34" s="32"/>
      <c r="P34" s="32"/>
      <c r="Q34" s="32"/>
      <c r="R34" s="47"/>
    </row>
    <row r="35" spans="1:18" ht="29.4" thickBot="1" x14ac:dyDescent="0.35">
      <c r="A35" s="14">
        <v>46265</v>
      </c>
      <c r="B35" s="145" t="s">
        <v>93</v>
      </c>
      <c r="C35" s="53">
        <v>12</v>
      </c>
      <c r="D35" s="129">
        <f t="shared" si="1"/>
        <v>0.66666666666666663</v>
      </c>
      <c r="E35" s="53">
        <v>5</v>
      </c>
      <c r="F35" s="53">
        <v>0</v>
      </c>
      <c r="G35" s="53">
        <v>0</v>
      </c>
      <c r="H35" s="53">
        <v>0</v>
      </c>
      <c r="I35" s="53">
        <v>12</v>
      </c>
      <c r="J35" s="53">
        <v>0</v>
      </c>
      <c r="K35" s="15"/>
      <c r="L35" s="157"/>
      <c r="M35" s="46">
        <v>46265</v>
      </c>
      <c r="N35" s="35"/>
      <c r="O35" s="35"/>
      <c r="P35" s="35"/>
      <c r="Q35" s="35"/>
      <c r="R35" s="36"/>
    </row>
    <row r="36" spans="1:18" ht="16.2" thickBot="1" x14ac:dyDescent="0.35">
      <c r="A36" s="16" t="s">
        <v>13</v>
      </c>
      <c r="B36" s="116"/>
      <c r="C36" s="11">
        <f>SUMIF(C4:C35,"&gt;0")</f>
        <v>290</v>
      </c>
      <c r="D36" s="11"/>
      <c r="E36" s="11">
        <f>SUMIF(E4:E35,"&gt;0")</f>
        <v>142</v>
      </c>
      <c r="F36" s="11">
        <v>40</v>
      </c>
      <c r="G36" s="118">
        <v>40</v>
      </c>
      <c r="H36" s="11">
        <v>41</v>
      </c>
      <c r="I36" s="11">
        <f>SUM(I4:I35)</f>
        <v>42</v>
      </c>
      <c r="J36" s="11">
        <f>SUM(J4:J35)</f>
        <v>57</v>
      </c>
      <c r="K36" s="12"/>
      <c r="L36" s="157"/>
      <c r="M36" s="37" t="s">
        <v>22</v>
      </c>
      <c r="N36" s="38"/>
      <c r="O36" s="38"/>
      <c r="P36" s="38"/>
      <c r="Q36" s="38"/>
      <c r="R36" s="39"/>
    </row>
    <row r="37" spans="1:18" ht="16.2" thickBot="1" x14ac:dyDescent="0.35">
      <c r="A37" s="17" t="s">
        <v>14</v>
      </c>
      <c r="B37" s="117"/>
      <c r="C37" s="118">
        <f>SUMIF(C5:C35,"&gt;0")</f>
        <v>254</v>
      </c>
      <c r="D37" s="119">
        <f>C37/468</f>
        <v>0.54273504273504269</v>
      </c>
      <c r="E37" s="118">
        <f>SUMIF(E5:E35,"&gt;0")</f>
        <v>142</v>
      </c>
      <c r="F37" s="118">
        <v>40</v>
      </c>
      <c r="G37" s="118">
        <v>40</v>
      </c>
      <c r="H37" s="118">
        <v>36</v>
      </c>
      <c r="I37" s="118">
        <f>SUM(I5:I35)</f>
        <v>37</v>
      </c>
      <c r="J37" s="118">
        <v>27</v>
      </c>
      <c r="K37" s="12"/>
      <c r="L37" s="157"/>
      <c r="M37" s="40" t="s">
        <v>23</v>
      </c>
      <c r="N37" s="41"/>
      <c r="O37" s="41"/>
      <c r="P37" s="41"/>
      <c r="Q37" s="41"/>
      <c r="R37" s="42"/>
    </row>
    <row r="38" spans="1:18" ht="16.2" thickBot="1" x14ac:dyDescent="0.35">
      <c r="A38" s="17" t="s">
        <v>15</v>
      </c>
      <c r="B38" s="17"/>
      <c r="C38" s="118">
        <v>23</v>
      </c>
      <c r="D38" s="120"/>
      <c r="E38" s="118">
        <v>17</v>
      </c>
      <c r="F38" s="118">
        <v>0</v>
      </c>
      <c r="G38" s="118">
        <v>22</v>
      </c>
      <c r="H38" s="118">
        <v>14</v>
      </c>
      <c r="I38" s="118">
        <v>15</v>
      </c>
      <c r="J38" s="12"/>
      <c r="K38" s="12"/>
      <c r="L38" s="157"/>
      <c r="M38" s="48" t="s">
        <v>24</v>
      </c>
      <c r="N38" s="43"/>
      <c r="O38" s="43"/>
      <c r="P38" s="43"/>
      <c r="Q38" s="44"/>
      <c r="R38" s="45"/>
    </row>
    <row r="39" spans="1:18" x14ac:dyDescent="0.3">
      <c r="A39" s="3"/>
      <c r="B39" s="3"/>
    </row>
    <row r="40" spans="1:18" x14ac:dyDescent="0.3">
      <c r="A40" s="3"/>
      <c r="B40" s="3"/>
    </row>
  </sheetData>
  <mergeCells count="3">
    <mergeCell ref="C2:D2"/>
    <mergeCell ref="A1:K1"/>
    <mergeCell ref="L1:L38"/>
  </mergeCells>
  <conditionalFormatting sqref="D5 D7:D12 D14:D18 D21:D26">
    <cfRule type="cellIs" dxfId="60" priority="6" operator="equal">
      <formula>0</formula>
    </cfRule>
    <cfRule type="cellIs" dxfId="59" priority="7" operator="between">
      <formula>0.9</formula>
      <formula>1</formula>
    </cfRule>
    <cfRule type="cellIs" dxfId="58" priority="8" operator="lessThan">
      <formula>0.9</formula>
    </cfRule>
    <cfRule type="cellIs" dxfId="57" priority="9" operator="greaterThan">
      <formula>1</formula>
    </cfRule>
    <cfRule type="cellIs" dxfId="56" priority="10" operator="greaterThan">
      <formula>100</formula>
    </cfRule>
  </conditionalFormatting>
  <conditionalFormatting sqref="D28:D33 D35">
    <cfRule type="cellIs" dxfId="55" priority="1" operator="equal">
      <formula>0</formula>
    </cfRule>
    <cfRule type="cellIs" dxfId="54" priority="2" operator="between">
      <formula>0.9</formula>
      <formula>1</formula>
    </cfRule>
    <cfRule type="cellIs" dxfId="53" priority="3" operator="lessThan">
      <formula>0.9</formula>
    </cfRule>
    <cfRule type="cellIs" dxfId="52" priority="4" operator="greaterThan">
      <formula>1</formula>
    </cfRule>
    <cfRule type="cellIs" dxfId="51" priority="5" operator="greaterThan">
      <formula>100</formula>
    </cfRule>
  </conditionalFormatting>
  <pageMargins left="0.7" right="0.7" top="0.75" bottom="0.75" header="0.3" footer="0.3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8"/>
  <sheetViews>
    <sheetView topLeftCell="Q29" zoomScale="96" zoomScaleNormal="96" workbookViewId="0">
      <selection activeCell="U30" sqref="U30"/>
    </sheetView>
  </sheetViews>
  <sheetFormatPr defaultRowHeight="14.4" x14ac:dyDescent="0.3"/>
  <cols>
    <col min="1" max="1" width="16.33203125" customWidth="1"/>
    <col min="2" max="2" width="9.6640625" bestFit="1" customWidth="1"/>
    <col min="3" max="3" width="19" bestFit="1" customWidth="1"/>
    <col min="6" max="6" width="21.6640625" bestFit="1" customWidth="1"/>
    <col min="8" max="8" width="11.21875" customWidth="1"/>
    <col min="9" max="9" width="10.5546875" customWidth="1"/>
    <col min="13" max="13" width="14.88671875" customWidth="1"/>
    <col min="14" max="14" width="14.77734375" customWidth="1"/>
    <col min="15" max="15" width="16.33203125" customWidth="1"/>
    <col min="16" max="16" width="12.109375" customWidth="1"/>
    <col min="17" max="17" width="21.44140625" customWidth="1"/>
    <col min="18" max="18" width="1.33203125" customWidth="1"/>
    <col min="19" max="19" width="14.77734375" bestFit="1" customWidth="1"/>
    <col min="20" max="20" width="19.5546875" customWidth="1"/>
    <col min="21" max="21" width="20.5546875" customWidth="1"/>
    <col min="22" max="22" width="18.77734375" customWidth="1"/>
    <col min="23" max="23" width="18.33203125" customWidth="1"/>
    <col min="24" max="24" width="26.21875" customWidth="1"/>
  </cols>
  <sheetData>
    <row r="1" spans="1:24" ht="21.6" thickBot="1" x14ac:dyDescent="0.35">
      <c r="A1" s="158" t="s">
        <v>53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60"/>
      <c r="R1" s="165"/>
      <c r="S1" s="162" t="s">
        <v>39</v>
      </c>
      <c r="T1" s="163"/>
      <c r="U1" s="163"/>
      <c r="V1" s="163"/>
      <c r="W1" s="163"/>
      <c r="X1" s="164"/>
    </row>
    <row r="2" spans="1:24" ht="54" customHeight="1" thickBot="1" x14ac:dyDescent="0.35">
      <c r="A2" s="99" t="s">
        <v>0</v>
      </c>
      <c r="B2" s="161" t="s">
        <v>25</v>
      </c>
      <c r="C2" s="161"/>
      <c r="D2" s="161" t="s">
        <v>26</v>
      </c>
      <c r="E2" s="161"/>
      <c r="F2" s="161" t="s">
        <v>27</v>
      </c>
      <c r="G2" s="161"/>
      <c r="H2" s="100" t="s">
        <v>28</v>
      </c>
      <c r="I2" s="100" t="s">
        <v>29</v>
      </c>
      <c r="J2" s="100" t="s">
        <v>30</v>
      </c>
      <c r="K2" s="100" t="s">
        <v>31</v>
      </c>
      <c r="L2" s="101" t="s">
        <v>32</v>
      </c>
      <c r="M2" s="102" t="s">
        <v>33</v>
      </c>
      <c r="N2" s="102" t="s">
        <v>34</v>
      </c>
      <c r="O2" s="100" t="s">
        <v>35</v>
      </c>
      <c r="P2" s="100" t="s">
        <v>36</v>
      </c>
      <c r="Q2" s="100" t="s">
        <v>8</v>
      </c>
      <c r="R2" s="165"/>
      <c r="S2" s="89" t="s">
        <v>0</v>
      </c>
      <c r="T2" s="91" t="s">
        <v>40</v>
      </c>
      <c r="U2" s="91" t="s">
        <v>41</v>
      </c>
      <c r="V2" s="96" t="s">
        <v>42</v>
      </c>
      <c r="W2" s="9" t="s">
        <v>43</v>
      </c>
      <c r="X2" s="9" t="s">
        <v>8</v>
      </c>
    </row>
    <row r="3" spans="1:24" ht="16.2" thickBot="1" x14ac:dyDescent="0.35">
      <c r="A3" s="89" t="s">
        <v>37</v>
      </c>
      <c r="B3" s="9">
        <v>2600</v>
      </c>
      <c r="C3" s="9" t="s">
        <v>38</v>
      </c>
      <c r="D3" s="9">
        <v>60</v>
      </c>
      <c r="E3" s="105" t="s">
        <v>38</v>
      </c>
      <c r="F3" s="9">
        <v>60</v>
      </c>
      <c r="G3" s="9" t="s">
        <v>32</v>
      </c>
      <c r="H3" s="9">
        <v>130</v>
      </c>
      <c r="I3" s="9">
        <v>130</v>
      </c>
      <c r="J3" s="9">
        <v>14</v>
      </c>
      <c r="K3" s="9">
        <f>SUM(H3:J3)</f>
        <v>274</v>
      </c>
      <c r="L3" s="90" t="s">
        <v>32</v>
      </c>
      <c r="M3" s="9">
        <v>54</v>
      </c>
      <c r="N3" s="9">
        <v>54</v>
      </c>
      <c r="O3" s="9" t="s">
        <v>21</v>
      </c>
      <c r="P3" s="9"/>
      <c r="Q3" s="9"/>
      <c r="R3" s="165"/>
      <c r="S3" s="89" t="s">
        <v>9</v>
      </c>
      <c r="T3" s="9">
        <v>4.5</v>
      </c>
      <c r="U3" s="9">
        <v>4.5</v>
      </c>
      <c r="V3" s="9"/>
      <c r="W3" s="9"/>
      <c r="X3" s="9"/>
    </row>
    <row r="4" spans="1:24" ht="16.2" thickBot="1" x14ac:dyDescent="0.35">
      <c r="A4" s="92" t="s">
        <v>10</v>
      </c>
      <c r="B4" s="55"/>
      <c r="C4" s="55"/>
      <c r="D4" s="103"/>
      <c r="E4" s="55"/>
      <c r="F4" s="104"/>
      <c r="G4" s="93"/>
      <c r="H4" s="94">
        <v>62</v>
      </c>
      <c r="I4" s="94">
        <v>90</v>
      </c>
      <c r="J4" s="94"/>
      <c r="K4" s="9"/>
      <c r="L4" s="90"/>
      <c r="M4" s="94"/>
      <c r="N4" s="94">
        <v>763</v>
      </c>
      <c r="O4" s="55"/>
      <c r="P4" s="55">
        <v>763</v>
      </c>
      <c r="Q4" s="60"/>
      <c r="R4" s="165"/>
      <c r="S4" s="92" t="s">
        <v>10</v>
      </c>
      <c r="T4" s="55"/>
      <c r="U4" s="94"/>
      <c r="V4" s="94">
        <f>21360/1000</f>
        <v>21.36</v>
      </c>
      <c r="W4" s="55"/>
      <c r="X4" s="60"/>
    </row>
    <row r="5" spans="1:24" ht="35.4" customHeight="1" x14ac:dyDescent="0.3">
      <c r="A5" s="83">
        <v>46235</v>
      </c>
      <c r="B5" s="84">
        <v>1805</v>
      </c>
      <c r="C5" s="85">
        <f>IFERROR($B5/$B$3,0)</f>
        <v>0.69423076923076921</v>
      </c>
      <c r="D5" s="86">
        <v>0</v>
      </c>
      <c r="E5" s="85">
        <f t="shared" ref="E5" si="0">IFERROR($D4/D2,0)</f>
        <v>0</v>
      </c>
      <c r="F5" s="86">
        <v>0</v>
      </c>
      <c r="G5" s="87">
        <f>IFERROR($F5/$F$3,0)</f>
        <v>0</v>
      </c>
      <c r="H5" s="84">
        <v>0</v>
      </c>
      <c r="I5" s="84">
        <v>0</v>
      </c>
      <c r="J5" s="84">
        <v>4</v>
      </c>
      <c r="K5" s="97">
        <f>SUM(H5:J5)</f>
        <v>4</v>
      </c>
      <c r="L5" s="85">
        <f>IFERROR(K5/$K$3,0)</f>
        <v>1.4598540145985401E-2</v>
      </c>
      <c r="M5" s="84">
        <v>0</v>
      </c>
      <c r="N5" s="84">
        <v>63</v>
      </c>
      <c r="O5" s="84">
        <v>0</v>
      </c>
      <c r="P5" s="88">
        <f>P4+M5+N5-O5</f>
        <v>826</v>
      </c>
      <c r="Q5" s="98" t="s">
        <v>44</v>
      </c>
      <c r="R5" s="165"/>
      <c r="S5" s="83">
        <v>46235</v>
      </c>
      <c r="T5" s="84">
        <f>3452.3/1000</f>
        <v>3.4523000000000001</v>
      </c>
      <c r="U5" s="84">
        <v>0</v>
      </c>
      <c r="V5" s="84">
        <v>0</v>
      </c>
      <c r="W5" s="84">
        <v>0</v>
      </c>
      <c r="X5" s="95"/>
    </row>
    <row r="6" spans="1:24" ht="15.6" x14ac:dyDescent="0.3">
      <c r="A6" s="46">
        <v>46236</v>
      </c>
      <c r="B6" s="32">
        <v>279</v>
      </c>
      <c r="C6" s="85">
        <f t="shared" ref="C6:C35" si="1">IFERROR($B6/$B$3,0)</f>
        <v>0.10730769230769231</v>
      </c>
      <c r="D6" s="77"/>
      <c r="E6" s="77"/>
      <c r="F6" s="77"/>
      <c r="G6" s="77"/>
      <c r="H6" s="32"/>
      <c r="I6" s="32"/>
      <c r="J6" s="32"/>
      <c r="K6" s="64"/>
      <c r="L6" s="85">
        <f t="shared" ref="L6:L35" si="2">IFERROR(K6/$K$3,0)</f>
        <v>0</v>
      </c>
      <c r="M6" s="32"/>
      <c r="N6" s="32"/>
      <c r="O6" s="32"/>
      <c r="P6" s="78"/>
      <c r="Q6" s="79"/>
      <c r="R6" s="165"/>
      <c r="S6" s="46">
        <v>46236</v>
      </c>
      <c r="T6" s="32"/>
      <c r="U6" s="32"/>
      <c r="V6" s="32"/>
      <c r="W6" s="32"/>
      <c r="X6" s="81"/>
    </row>
    <row r="7" spans="1:24" ht="70.8" customHeight="1" x14ac:dyDescent="0.3">
      <c r="A7" s="46">
        <v>46237</v>
      </c>
      <c r="B7" s="28">
        <v>2930</v>
      </c>
      <c r="C7" s="85">
        <f>IFERROR($B7/$B$3,0)</f>
        <v>1.1269230769230769</v>
      </c>
      <c r="D7" s="49">
        <v>33</v>
      </c>
      <c r="E7" s="85">
        <f>IFERROR($D7/$D$3,0)</f>
        <v>0.55000000000000004</v>
      </c>
      <c r="F7" s="49">
        <v>0</v>
      </c>
      <c r="G7" s="87">
        <f t="shared" ref="G7:G35" si="3">IFERROR($F7/$F$3,0)</f>
        <v>0</v>
      </c>
      <c r="H7" s="28">
        <v>0</v>
      </c>
      <c r="I7" s="28">
        <v>0</v>
      </c>
      <c r="J7" s="28">
        <v>0</v>
      </c>
      <c r="K7" s="4">
        <v>0</v>
      </c>
      <c r="L7" s="106">
        <f t="shared" si="2"/>
        <v>0</v>
      </c>
      <c r="M7" s="28">
        <v>0</v>
      </c>
      <c r="N7" s="28">
        <v>62</v>
      </c>
      <c r="O7" s="28">
        <v>0</v>
      </c>
      <c r="P7" s="61">
        <f t="shared" ref="P7:P35" si="4">IF(P6=0,P5+M7+N7-O7,P6+M7+N7-O7)</f>
        <v>888</v>
      </c>
      <c r="Q7" s="107" t="s">
        <v>45</v>
      </c>
      <c r="R7" s="165"/>
      <c r="S7" s="46">
        <v>46237</v>
      </c>
      <c r="T7" s="28">
        <f>4612.8/1000</f>
        <v>4.6128</v>
      </c>
      <c r="U7" s="28">
        <v>0</v>
      </c>
      <c r="V7" s="28">
        <v>0</v>
      </c>
      <c r="W7" s="28">
        <v>0</v>
      </c>
      <c r="X7" s="51"/>
    </row>
    <row r="8" spans="1:24" ht="34.200000000000003" customHeight="1" x14ac:dyDescent="0.3">
      <c r="A8" s="46">
        <v>46238</v>
      </c>
      <c r="B8" s="28">
        <v>3038</v>
      </c>
      <c r="C8" s="85">
        <f t="shared" si="1"/>
        <v>1.1684615384615384</v>
      </c>
      <c r="D8" s="49">
        <v>33</v>
      </c>
      <c r="E8" s="85">
        <f>IFERROR($D8/$D$3,0)</f>
        <v>0.55000000000000004</v>
      </c>
      <c r="F8" s="112" t="s">
        <v>49</v>
      </c>
      <c r="G8" s="87">
        <f>IFERROR($F8/$F$3,0)</f>
        <v>0</v>
      </c>
      <c r="H8" s="28">
        <v>0</v>
      </c>
      <c r="I8" s="28">
        <v>0</v>
      </c>
      <c r="J8" s="28">
        <v>6</v>
      </c>
      <c r="K8" s="113">
        <f t="shared" ref="K8:K29" si="5">SUM(H8:J8)</f>
        <v>6</v>
      </c>
      <c r="L8" s="85">
        <f t="shared" si="2"/>
        <v>2.1897810218978103E-2</v>
      </c>
      <c r="M8" s="28">
        <v>0</v>
      </c>
      <c r="N8" s="28">
        <v>0</v>
      </c>
      <c r="O8" s="28">
        <v>0</v>
      </c>
      <c r="P8" s="61">
        <f t="shared" si="4"/>
        <v>888</v>
      </c>
      <c r="Q8" s="114" t="s">
        <v>50</v>
      </c>
      <c r="R8" s="165"/>
      <c r="S8" s="46">
        <v>46238</v>
      </c>
      <c r="T8" s="28">
        <f>3995.2/1000</f>
        <v>3.9951999999999996</v>
      </c>
      <c r="U8" s="28">
        <f>7430/1000</f>
        <v>7.43</v>
      </c>
      <c r="V8" s="28">
        <f>12460/1000</f>
        <v>12.46</v>
      </c>
      <c r="W8" s="28">
        <v>0</v>
      </c>
      <c r="X8" s="51"/>
    </row>
    <row r="9" spans="1:24" ht="15.6" x14ac:dyDescent="0.3">
      <c r="A9" s="46">
        <v>46239</v>
      </c>
      <c r="B9" s="28">
        <v>2974</v>
      </c>
      <c r="C9" s="85">
        <f t="shared" si="1"/>
        <v>1.143846153846154</v>
      </c>
      <c r="D9" s="33">
        <v>8</v>
      </c>
      <c r="E9" s="85">
        <f t="shared" ref="E9:E35" si="6">IFERROR($D9/$D$3,0)</f>
        <v>0.13333333333333333</v>
      </c>
      <c r="F9" s="33">
        <v>60</v>
      </c>
      <c r="G9" s="87">
        <f t="shared" si="3"/>
        <v>1</v>
      </c>
      <c r="H9" s="28">
        <v>0</v>
      </c>
      <c r="I9" s="28">
        <v>77</v>
      </c>
      <c r="J9" s="28">
        <v>7</v>
      </c>
      <c r="K9" s="127">
        <f t="shared" si="5"/>
        <v>84</v>
      </c>
      <c r="L9" s="85">
        <f t="shared" si="2"/>
        <v>0.30656934306569344</v>
      </c>
      <c r="M9" s="28">
        <v>0</v>
      </c>
      <c r="N9" s="28">
        <v>84</v>
      </c>
      <c r="O9" s="28">
        <v>0</v>
      </c>
      <c r="P9" s="61">
        <f t="shared" si="4"/>
        <v>972</v>
      </c>
      <c r="Q9" s="62"/>
      <c r="R9" s="165"/>
      <c r="S9" s="46">
        <v>46239</v>
      </c>
      <c r="T9" s="28">
        <f>977.3/1000</f>
        <v>0.97729999999999995</v>
      </c>
      <c r="U9" s="28">
        <v>0</v>
      </c>
      <c r="V9" s="28">
        <v>0</v>
      </c>
      <c r="W9" s="28">
        <v>0</v>
      </c>
      <c r="X9" s="50"/>
    </row>
    <row r="10" spans="1:24" ht="15.6" x14ac:dyDescent="0.3">
      <c r="A10" s="46">
        <v>46240</v>
      </c>
      <c r="B10" s="28">
        <v>3320</v>
      </c>
      <c r="C10" s="85">
        <f t="shared" si="1"/>
        <v>1.2769230769230768</v>
      </c>
      <c r="D10" s="49">
        <v>53</v>
      </c>
      <c r="E10" s="85">
        <f t="shared" si="6"/>
        <v>0.8833333333333333</v>
      </c>
      <c r="F10" s="49">
        <v>39</v>
      </c>
      <c r="G10" s="87">
        <f t="shared" si="3"/>
        <v>0.65</v>
      </c>
      <c r="H10" s="28">
        <v>0</v>
      </c>
      <c r="I10" s="28">
        <v>0</v>
      </c>
      <c r="J10" s="28">
        <v>8</v>
      </c>
      <c r="K10" s="113">
        <f t="shared" si="5"/>
        <v>8</v>
      </c>
      <c r="L10" s="85">
        <f t="shared" si="2"/>
        <v>2.9197080291970802E-2</v>
      </c>
      <c r="M10" s="28">
        <v>0</v>
      </c>
      <c r="N10" s="28">
        <v>0</v>
      </c>
      <c r="O10" s="28">
        <v>0</v>
      </c>
      <c r="P10" s="61">
        <f t="shared" si="4"/>
        <v>972</v>
      </c>
      <c r="Q10" s="63"/>
      <c r="R10" s="165"/>
      <c r="S10" s="46">
        <v>46240</v>
      </c>
      <c r="T10" s="28">
        <f>3275.6/1000</f>
        <v>3.2755999999999998</v>
      </c>
      <c r="U10" s="28">
        <v>0</v>
      </c>
      <c r="V10" s="28">
        <f>6620/1000</f>
        <v>6.62</v>
      </c>
      <c r="W10" s="28">
        <v>2</v>
      </c>
      <c r="X10" s="51" t="s">
        <v>56</v>
      </c>
    </row>
    <row r="11" spans="1:24" ht="28.8" x14ac:dyDescent="0.3">
      <c r="A11" s="46">
        <v>46241</v>
      </c>
      <c r="B11" s="28">
        <v>2610</v>
      </c>
      <c r="C11" s="85">
        <f t="shared" si="1"/>
        <v>1.0038461538461538</v>
      </c>
      <c r="D11" s="49">
        <v>38</v>
      </c>
      <c r="E11" s="85">
        <f t="shared" si="6"/>
        <v>0.6333333333333333</v>
      </c>
      <c r="F11" s="49">
        <v>0</v>
      </c>
      <c r="G11" s="87">
        <f t="shared" si="3"/>
        <v>0</v>
      </c>
      <c r="H11" s="28">
        <v>0</v>
      </c>
      <c r="I11" s="28">
        <v>0</v>
      </c>
      <c r="J11" s="28">
        <v>16</v>
      </c>
      <c r="K11" s="113">
        <f t="shared" si="5"/>
        <v>16</v>
      </c>
      <c r="L11" s="85">
        <f t="shared" si="2"/>
        <v>5.8394160583941604E-2</v>
      </c>
      <c r="M11" s="28">
        <v>0</v>
      </c>
      <c r="N11" s="28">
        <v>0</v>
      </c>
      <c r="O11" s="28">
        <v>20</v>
      </c>
      <c r="P11" s="61">
        <f t="shared" si="4"/>
        <v>952</v>
      </c>
      <c r="Q11" s="63" t="s">
        <v>58</v>
      </c>
      <c r="R11" s="165"/>
      <c r="S11" s="46">
        <v>46241</v>
      </c>
      <c r="T11" s="28">
        <f>3309/1000</f>
        <v>3.3090000000000002</v>
      </c>
      <c r="U11" s="28">
        <v>0</v>
      </c>
      <c r="V11" s="28">
        <f>7740/1000</f>
        <v>7.74</v>
      </c>
      <c r="W11" s="28">
        <v>0</v>
      </c>
      <c r="X11" s="51"/>
    </row>
    <row r="12" spans="1:24" ht="28.8" x14ac:dyDescent="0.3">
      <c r="A12" s="46">
        <v>46242</v>
      </c>
      <c r="B12" s="28">
        <v>2579</v>
      </c>
      <c r="C12" s="85">
        <f t="shared" si="1"/>
        <v>0.99192307692307691</v>
      </c>
      <c r="D12" s="49">
        <v>54</v>
      </c>
      <c r="E12" s="85">
        <f t="shared" si="6"/>
        <v>0.9</v>
      </c>
      <c r="F12" s="49">
        <v>62</v>
      </c>
      <c r="G12" s="87">
        <f t="shared" si="3"/>
        <v>1.0333333333333334</v>
      </c>
      <c r="H12" s="28">
        <v>0</v>
      </c>
      <c r="I12" s="28">
        <v>0</v>
      </c>
      <c r="J12" s="28">
        <v>0</v>
      </c>
      <c r="K12" s="4">
        <f t="shared" si="5"/>
        <v>0</v>
      </c>
      <c r="L12" s="85">
        <f t="shared" si="2"/>
        <v>0</v>
      </c>
      <c r="M12" s="28">
        <v>0</v>
      </c>
      <c r="N12" s="28">
        <v>61</v>
      </c>
      <c r="O12" s="28">
        <v>26</v>
      </c>
      <c r="P12" s="61">
        <f t="shared" si="4"/>
        <v>987</v>
      </c>
      <c r="Q12" s="128" t="s">
        <v>60</v>
      </c>
      <c r="R12" s="165"/>
      <c r="S12" s="46">
        <v>46242</v>
      </c>
      <c r="T12" s="28">
        <f>4304.8/1000</f>
        <v>4.3048000000000002</v>
      </c>
      <c r="U12" s="28">
        <v>0</v>
      </c>
      <c r="V12" s="28">
        <v>0</v>
      </c>
      <c r="W12" s="28">
        <v>0</v>
      </c>
      <c r="X12" s="51"/>
    </row>
    <row r="13" spans="1:24" ht="15.6" x14ac:dyDescent="0.3">
      <c r="A13" s="46">
        <v>46243</v>
      </c>
      <c r="B13" s="32"/>
      <c r="C13" s="32"/>
      <c r="D13" s="77"/>
      <c r="E13" s="85">
        <f t="shared" si="6"/>
        <v>0</v>
      </c>
      <c r="F13" s="77"/>
      <c r="G13" s="87">
        <f t="shared" si="3"/>
        <v>0</v>
      </c>
      <c r="H13" s="32">
        <v>84</v>
      </c>
      <c r="I13" s="32">
        <v>0</v>
      </c>
      <c r="J13" s="32">
        <v>10</v>
      </c>
      <c r="K13" s="64">
        <f t="shared" si="5"/>
        <v>94</v>
      </c>
      <c r="L13" s="85">
        <f t="shared" si="2"/>
        <v>0.34306569343065696</v>
      </c>
      <c r="M13" s="32">
        <v>0</v>
      </c>
      <c r="N13" s="32">
        <v>0</v>
      </c>
      <c r="O13" s="32">
        <v>0</v>
      </c>
      <c r="P13" s="32">
        <v>0</v>
      </c>
      <c r="Q13" s="79"/>
      <c r="R13" s="165"/>
      <c r="S13" s="46">
        <v>46243</v>
      </c>
      <c r="T13" s="32">
        <f>118.2/1000</f>
        <v>0.1182</v>
      </c>
      <c r="U13" s="32">
        <v>0</v>
      </c>
      <c r="V13" s="32">
        <v>0</v>
      </c>
      <c r="W13" s="32">
        <v>0</v>
      </c>
      <c r="X13" s="81"/>
    </row>
    <row r="14" spans="1:24" ht="31.2" x14ac:dyDescent="0.3">
      <c r="A14" s="46">
        <v>46244</v>
      </c>
      <c r="B14" s="28">
        <v>2621</v>
      </c>
      <c r="C14" s="85">
        <f t="shared" si="1"/>
        <v>1.0080769230769231</v>
      </c>
      <c r="D14" s="49">
        <v>47</v>
      </c>
      <c r="E14" s="85">
        <f t="shared" si="6"/>
        <v>0.78333333333333333</v>
      </c>
      <c r="F14" s="49">
        <v>54</v>
      </c>
      <c r="G14" s="87">
        <f t="shared" si="3"/>
        <v>0.9</v>
      </c>
      <c r="H14" s="28">
        <v>0</v>
      </c>
      <c r="I14" s="28">
        <v>0</v>
      </c>
      <c r="J14" s="28">
        <v>12</v>
      </c>
      <c r="K14" s="64">
        <f t="shared" si="5"/>
        <v>12</v>
      </c>
      <c r="L14" s="85">
        <f t="shared" si="2"/>
        <v>4.3795620437956206E-2</v>
      </c>
      <c r="M14" s="28">
        <v>0</v>
      </c>
      <c r="N14" s="28">
        <v>0</v>
      </c>
      <c r="O14" s="28">
        <v>13</v>
      </c>
      <c r="P14" s="61">
        <f t="shared" si="4"/>
        <v>974</v>
      </c>
      <c r="Q14" s="132" t="s">
        <v>61</v>
      </c>
      <c r="R14" s="165"/>
      <c r="S14" s="46">
        <v>46244</v>
      </c>
      <c r="T14" s="28" t="s">
        <v>76</v>
      </c>
      <c r="U14" s="28">
        <v>0</v>
      </c>
      <c r="V14" s="28">
        <v>6.96</v>
      </c>
      <c r="W14" s="28">
        <v>3</v>
      </c>
      <c r="X14" s="51"/>
    </row>
    <row r="15" spans="1:24" ht="43.2" x14ac:dyDescent="0.3">
      <c r="A15" s="46">
        <v>46245</v>
      </c>
      <c r="B15" s="28">
        <v>2576</v>
      </c>
      <c r="C15" s="85">
        <f t="shared" si="1"/>
        <v>0.99076923076923074</v>
      </c>
      <c r="D15" s="49">
        <v>52</v>
      </c>
      <c r="E15" s="85">
        <f t="shared" si="6"/>
        <v>0.8666666666666667</v>
      </c>
      <c r="F15" s="49">
        <v>43</v>
      </c>
      <c r="G15" s="87">
        <f t="shared" si="3"/>
        <v>0.71666666666666667</v>
      </c>
      <c r="H15" s="28">
        <v>0</v>
      </c>
      <c r="I15" s="28">
        <v>0</v>
      </c>
      <c r="J15" s="28">
        <v>8</v>
      </c>
      <c r="K15" s="64">
        <f t="shared" si="5"/>
        <v>8</v>
      </c>
      <c r="L15" s="85">
        <f t="shared" si="2"/>
        <v>2.9197080291970802E-2</v>
      </c>
      <c r="M15" s="28">
        <v>0</v>
      </c>
      <c r="N15" s="28">
        <v>58</v>
      </c>
      <c r="O15" s="28">
        <v>0</v>
      </c>
      <c r="P15" s="61">
        <f t="shared" si="4"/>
        <v>1032</v>
      </c>
      <c r="Q15" s="133" t="s">
        <v>63</v>
      </c>
      <c r="R15" s="165"/>
      <c r="S15" s="46">
        <v>46245</v>
      </c>
      <c r="T15" s="28" t="s">
        <v>76</v>
      </c>
      <c r="U15" s="28">
        <v>0</v>
      </c>
      <c r="V15" s="28">
        <v>0</v>
      </c>
      <c r="W15" s="28">
        <v>0</v>
      </c>
      <c r="X15" s="51"/>
    </row>
    <row r="16" spans="1:24" ht="31.2" x14ac:dyDescent="0.3">
      <c r="A16" s="46">
        <v>46246</v>
      </c>
      <c r="B16" s="28">
        <v>2201</v>
      </c>
      <c r="C16" s="85">
        <f t="shared" si="1"/>
        <v>0.84653846153846157</v>
      </c>
      <c r="D16" s="33">
        <v>26</v>
      </c>
      <c r="E16" s="85">
        <f t="shared" si="6"/>
        <v>0.43333333333333335</v>
      </c>
      <c r="F16" s="33">
        <v>20</v>
      </c>
      <c r="G16" s="87">
        <f t="shared" si="3"/>
        <v>0.33333333333333331</v>
      </c>
      <c r="H16" s="28">
        <v>0</v>
      </c>
      <c r="I16" s="28">
        <v>101</v>
      </c>
      <c r="J16" s="28">
        <v>11</v>
      </c>
      <c r="K16" s="4">
        <f t="shared" si="5"/>
        <v>112</v>
      </c>
      <c r="L16" s="85">
        <f t="shared" si="2"/>
        <v>0.40875912408759124</v>
      </c>
      <c r="M16" s="28">
        <v>0</v>
      </c>
      <c r="N16" s="28">
        <v>60</v>
      </c>
      <c r="O16" s="28">
        <v>0</v>
      </c>
      <c r="P16" s="61">
        <f t="shared" si="4"/>
        <v>1092</v>
      </c>
      <c r="Q16" s="132" t="s">
        <v>65</v>
      </c>
      <c r="R16" s="165"/>
      <c r="S16" s="46">
        <v>46246</v>
      </c>
      <c r="T16" s="28" t="s">
        <v>76</v>
      </c>
      <c r="U16" s="28">
        <v>6.14</v>
      </c>
      <c r="V16" s="28">
        <v>0</v>
      </c>
      <c r="W16" s="28">
        <v>0</v>
      </c>
      <c r="X16" s="50"/>
    </row>
    <row r="17" spans="1:24" ht="43.2" x14ac:dyDescent="0.3">
      <c r="A17" s="46">
        <v>46247</v>
      </c>
      <c r="B17" s="28">
        <v>2838</v>
      </c>
      <c r="C17" s="85">
        <f t="shared" si="1"/>
        <v>1.0915384615384616</v>
      </c>
      <c r="D17" s="49">
        <v>37</v>
      </c>
      <c r="E17" s="85">
        <f t="shared" si="6"/>
        <v>0.6166666666666667</v>
      </c>
      <c r="F17" s="49">
        <v>40</v>
      </c>
      <c r="G17" s="87">
        <f t="shared" si="3"/>
        <v>0.66666666666666663</v>
      </c>
      <c r="H17" s="28">
        <v>0</v>
      </c>
      <c r="I17" s="28">
        <v>0</v>
      </c>
      <c r="J17" s="28">
        <v>0</v>
      </c>
      <c r="K17" s="4">
        <f t="shared" si="5"/>
        <v>0</v>
      </c>
      <c r="L17" s="85">
        <f t="shared" si="2"/>
        <v>0</v>
      </c>
      <c r="M17" s="28">
        <v>0</v>
      </c>
      <c r="N17" s="28">
        <v>30</v>
      </c>
      <c r="O17" s="28">
        <v>0</v>
      </c>
      <c r="P17" s="61">
        <f t="shared" si="4"/>
        <v>1122</v>
      </c>
      <c r="Q17" s="63"/>
      <c r="R17" s="165"/>
      <c r="S17" s="46">
        <v>46247</v>
      </c>
      <c r="T17" s="28" t="s">
        <v>76</v>
      </c>
      <c r="U17" s="28">
        <v>0</v>
      </c>
      <c r="V17" s="28">
        <v>0</v>
      </c>
      <c r="W17" s="28">
        <v>0</v>
      </c>
      <c r="X17" s="51" t="s">
        <v>78</v>
      </c>
    </row>
    <row r="18" spans="1:24" ht="15.6" x14ac:dyDescent="0.3">
      <c r="A18" s="46">
        <v>46248</v>
      </c>
      <c r="B18" s="28">
        <v>2155</v>
      </c>
      <c r="C18" s="85">
        <f t="shared" si="1"/>
        <v>0.8288461538461539</v>
      </c>
      <c r="D18" s="49">
        <v>33</v>
      </c>
      <c r="E18" s="85">
        <f t="shared" si="6"/>
        <v>0.55000000000000004</v>
      </c>
      <c r="F18" s="49">
        <v>50</v>
      </c>
      <c r="G18" s="87">
        <f t="shared" si="3"/>
        <v>0.83333333333333337</v>
      </c>
      <c r="H18" s="28">
        <v>0</v>
      </c>
      <c r="I18" s="28">
        <v>0</v>
      </c>
      <c r="J18" s="28">
        <v>0</v>
      </c>
      <c r="K18" s="4">
        <f t="shared" si="5"/>
        <v>0</v>
      </c>
      <c r="L18" s="85">
        <f t="shared" si="2"/>
        <v>0</v>
      </c>
      <c r="M18" s="28">
        <v>0</v>
      </c>
      <c r="N18" s="28">
        <v>50</v>
      </c>
      <c r="O18" s="28">
        <v>26</v>
      </c>
      <c r="P18" s="61">
        <f t="shared" si="4"/>
        <v>1146</v>
      </c>
      <c r="Q18" s="63"/>
      <c r="R18" s="165"/>
      <c r="S18" s="46">
        <v>46248</v>
      </c>
      <c r="T18" s="28" t="s">
        <v>76</v>
      </c>
      <c r="U18" s="28">
        <v>0</v>
      </c>
      <c r="V18" s="28">
        <v>0</v>
      </c>
      <c r="W18" s="28">
        <v>0</v>
      </c>
      <c r="X18" s="51"/>
    </row>
    <row r="19" spans="1:24" ht="15.6" x14ac:dyDescent="0.3">
      <c r="A19" s="46">
        <v>46249</v>
      </c>
      <c r="B19" s="28" t="s">
        <v>68</v>
      </c>
      <c r="C19" s="85">
        <f t="shared" si="1"/>
        <v>0</v>
      </c>
      <c r="D19" s="49">
        <v>0</v>
      </c>
      <c r="E19" s="85">
        <f t="shared" si="6"/>
        <v>0</v>
      </c>
      <c r="F19" s="49">
        <v>0</v>
      </c>
      <c r="G19" s="87">
        <v>0</v>
      </c>
      <c r="H19" s="28">
        <v>104</v>
      </c>
      <c r="I19" s="28">
        <v>0</v>
      </c>
      <c r="J19" s="28">
        <v>0</v>
      </c>
      <c r="K19" s="4">
        <f t="shared" si="5"/>
        <v>104</v>
      </c>
      <c r="L19" s="85">
        <f t="shared" si="2"/>
        <v>0.37956204379562042</v>
      </c>
      <c r="M19" s="28">
        <v>0</v>
      </c>
      <c r="N19" s="28">
        <v>0</v>
      </c>
      <c r="O19" s="28">
        <v>0</v>
      </c>
      <c r="P19" s="61">
        <f t="shared" si="4"/>
        <v>1146</v>
      </c>
      <c r="Q19" s="63"/>
      <c r="R19" s="165"/>
      <c r="S19" s="46">
        <v>46249</v>
      </c>
      <c r="T19" s="28"/>
      <c r="U19" s="28"/>
      <c r="V19" s="28"/>
      <c r="W19" s="28"/>
      <c r="X19" s="51"/>
    </row>
    <row r="20" spans="1:24" x14ac:dyDescent="0.3">
      <c r="A20" s="46">
        <v>46250</v>
      </c>
      <c r="B20" s="32"/>
      <c r="C20" s="32"/>
      <c r="D20" s="77"/>
      <c r="E20" s="85">
        <f t="shared" si="6"/>
        <v>0</v>
      </c>
      <c r="F20" s="77"/>
      <c r="G20" s="87">
        <f t="shared" si="3"/>
        <v>0</v>
      </c>
      <c r="H20" s="32"/>
      <c r="I20" s="32"/>
      <c r="J20" s="32"/>
      <c r="K20" s="32"/>
      <c r="L20" s="85">
        <f t="shared" si="2"/>
        <v>0</v>
      </c>
      <c r="M20" s="32"/>
      <c r="N20" s="32"/>
      <c r="O20" s="32"/>
      <c r="P20" s="32"/>
      <c r="Q20" s="79"/>
      <c r="R20" s="165"/>
      <c r="S20" s="46">
        <v>46250</v>
      </c>
      <c r="T20" s="32"/>
      <c r="U20" s="32"/>
      <c r="V20" s="32"/>
      <c r="W20" s="32"/>
      <c r="X20" s="81"/>
    </row>
    <row r="21" spans="1:24" ht="28.8" x14ac:dyDescent="0.3">
      <c r="A21" s="46">
        <v>46251</v>
      </c>
      <c r="B21" s="28">
        <v>2763</v>
      </c>
      <c r="C21" s="85">
        <f t="shared" si="1"/>
        <v>1.0626923076923076</v>
      </c>
      <c r="D21" s="49">
        <v>17</v>
      </c>
      <c r="E21" s="85">
        <f t="shared" si="6"/>
        <v>0.28333333333333333</v>
      </c>
      <c r="F21" s="49">
        <v>30</v>
      </c>
      <c r="G21" s="87">
        <f t="shared" si="3"/>
        <v>0.5</v>
      </c>
      <c r="H21" s="28">
        <v>0</v>
      </c>
      <c r="I21" s="28">
        <v>0</v>
      </c>
      <c r="J21" s="28">
        <v>0</v>
      </c>
      <c r="K21" s="4">
        <f t="shared" si="5"/>
        <v>0</v>
      </c>
      <c r="L21" s="85">
        <f t="shared" si="2"/>
        <v>0</v>
      </c>
      <c r="M21" s="28">
        <v>0</v>
      </c>
      <c r="N21" s="28">
        <v>52</v>
      </c>
      <c r="O21" s="28">
        <v>0</v>
      </c>
      <c r="P21" s="61">
        <f t="shared" si="4"/>
        <v>1198</v>
      </c>
      <c r="Q21" s="62"/>
      <c r="R21" s="165"/>
      <c r="S21" s="46">
        <v>46251</v>
      </c>
      <c r="T21" s="138" t="s">
        <v>77</v>
      </c>
      <c r="U21" s="28">
        <v>0</v>
      </c>
      <c r="V21" s="28">
        <v>0</v>
      </c>
      <c r="W21" s="28">
        <v>0</v>
      </c>
      <c r="X21" s="50"/>
    </row>
    <row r="22" spans="1:24" ht="43.2" x14ac:dyDescent="0.3">
      <c r="A22" s="46">
        <v>46252</v>
      </c>
      <c r="B22" s="28">
        <v>2268</v>
      </c>
      <c r="C22" s="85">
        <f t="shared" si="1"/>
        <v>0.87230769230769234</v>
      </c>
      <c r="D22" s="49">
        <v>37</v>
      </c>
      <c r="E22" s="85">
        <f t="shared" si="6"/>
        <v>0.6166666666666667</v>
      </c>
      <c r="F22" s="49">
        <v>27</v>
      </c>
      <c r="G22" s="87">
        <f t="shared" si="3"/>
        <v>0.45</v>
      </c>
      <c r="H22" s="28">
        <v>0</v>
      </c>
      <c r="I22" s="28">
        <v>0</v>
      </c>
      <c r="J22" s="28">
        <v>7</v>
      </c>
      <c r="K22" s="4">
        <f t="shared" si="5"/>
        <v>7</v>
      </c>
      <c r="L22" s="85">
        <f t="shared" si="2"/>
        <v>2.5547445255474453E-2</v>
      </c>
      <c r="M22" s="28">
        <v>0</v>
      </c>
      <c r="N22" s="28">
        <v>65</v>
      </c>
      <c r="O22" s="28">
        <v>91</v>
      </c>
      <c r="P22" s="61">
        <f t="shared" si="4"/>
        <v>1172</v>
      </c>
      <c r="Q22" s="130" t="s">
        <v>69</v>
      </c>
      <c r="R22" s="165"/>
      <c r="S22" s="46">
        <v>46252</v>
      </c>
      <c r="T22" s="28">
        <v>4.8</v>
      </c>
      <c r="U22" s="33">
        <v>0</v>
      </c>
      <c r="V22" s="28">
        <v>6.95</v>
      </c>
      <c r="W22" s="28">
        <v>3</v>
      </c>
      <c r="X22" s="51"/>
    </row>
    <row r="23" spans="1:24" ht="31.2" x14ac:dyDescent="0.3">
      <c r="A23" s="46">
        <v>46253</v>
      </c>
      <c r="B23" s="28">
        <v>2590</v>
      </c>
      <c r="C23" s="85">
        <f t="shared" si="1"/>
        <v>0.99615384615384617</v>
      </c>
      <c r="D23" s="33">
        <v>10</v>
      </c>
      <c r="E23" s="85">
        <f t="shared" si="6"/>
        <v>0.16666666666666666</v>
      </c>
      <c r="F23" s="33">
        <v>60</v>
      </c>
      <c r="G23" s="87">
        <f t="shared" si="3"/>
        <v>1</v>
      </c>
      <c r="H23" s="28">
        <v>0</v>
      </c>
      <c r="I23" s="28">
        <v>75</v>
      </c>
      <c r="J23" s="28">
        <v>0</v>
      </c>
      <c r="K23" s="4">
        <f t="shared" si="5"/>
        <v>75</v>
      </c>
      <c r="L23" s="85">
        <f t="shared" si="2"/>
        <v>0.27372262773722628</v>
      </c>
      <c r="M23" s="28">
        <v>0</v>
      </c>
      <c r="N23" s="28">
        <v>90</v>
      </c>
      <c r="O23" s="28">
        <v>80</v>
      </c>
      <c r="P23" s="61">
        <f t="shared" si="4"/>
        <v>1182</v>
      </c>
      <c r="Q23" s="131" t="s">
        <v>70</v>
      </c>
      <c r="R23" s="165"/>
      <c r="S23" s="46">
        <v>46253</v>
      </c>
      <c r="T23" s="28">
        <v>2.1</v>
      </c>
      <c r="U23" s="28">
        <v>0</v>
      </c>
      <c r="V23" s="28">
        <v>0</v>
      </c>
      <c r="W23" s="28">
        <v>10</v>
      </c>
      <c r="X23" s="50"/>
    </row>
    <row r="24" spans="1:24" ht="15.6" x14ac:dyDescent="0.3">
      <c r="A24" s="46">
        <v>46254</v>
      </c>
      <c r="B24" s="28">
        <v>2600</v>
      </c>
      <c r="C24" s="85">
        <f t="shared" si="1"/>
        <v>1</v>
      </c>
      <c r="D24" s="49">
        <v>0</v>
      </c>
      <c r="E24" s="85">
        <f t="shared" si="6"/>
        <v>0</v>
      </c>
      <c r="F24" s="49">
        <v>40</v>
      </c>
      <c r="G24" s="87">
        <f t="shared" si="3"/>
        <v>0.66666666666666663</v>
      </c>
      <c r="H24" s="28">
        <v>0</v>
      </c>
      <c r="I24" s="28">
        <v>0</v>
      </c>
      <c r="J24" s="28">
        <v>0</v>
      </c>
      <c r="K24" s="4">
        <f t="shared" si="5"/>
        <v>0</v>
      </c>
      <c r="L24" s="85">
        <f t="shared" si="2"/>
        <v>0</v>
      </c>
      <c r="M24" s="28">
        <v>0</v>
      </c>
      <c r="N24" s="28">
        <v>52</v>
      </c>
      <c r="O24" s="28">
        <v>105</v>
      </c>
      <c r="P24" s="61">
        <f t="shared" si="4"/>
        <v>1129</v>
      </c>
      <c r="Q24" s="65"/>
      <c r="R24" s="165"/>
      <c r="S24" s="46">
        <v>46254</v>
      </c>
      <c r="T24" s="28">
        <v>4.95</v>
      </c>
      <c r="U24" s="28">
        <v>0</v>
      </c>
      <c r="V24" s="28">
        <v>0</v>
      </c>
      <c r="W24" s="28">
        <v>7</v>
      </c>
      <c r="X24" s="30"/>
    </row>
    <row r="25" spans="1:24" ht="15.6" x14ac:dyDescent="0.3">
      <c r="A25" s="46">
        <v>46255</v>
      </c>
      <c r="B25" s="28">
        <v>2698</v>
      </c>
      <c r="C25" s="85">
        <f t="shared" si="1"/>
        <v>1.0376923076923077</v>
      </c>
      <c r="D25" s="49">
        <v>15</v>
      </c>
      <c r="E25" s="85">
        <f t="shared" si="6"/>
        <v>0.25</v>
      </c>
      <c r="F25" s="49">
        <v>40</v>
      </c>
      <c r="G25" s="87">
        <f t="shared" si="3"/>
        <v>0.66666666666666663</v>
      </c>
      <c r="H25" s="28">
        <v>0</v>
      </c>
      <c r="I25" s="28">
        <v>0</v>
      </c>
      <c r="J25" s="28">
        <v>11</v>
      </c>
      <c r="K25" s="4">
        <f t="shared" si="5"/>
        <v>11</v>
      </c>
      <c r="L25" s="85">
        <f t="shared" si="2"/>
        <v>4.0145985401459854E-2</v>
      </c>
      <c r="M25" s="28">
        <v>0</v>
      </c>
      <c r="N25" s="28">
        <v>97</v>
      </c>
      <c r="O25" s="28">
        <v>158</v>
      </c>
      <c r="P25" s="61">
        <f t="shared" si="4"/>
        <v>1068</v>
      </c>
      <c r="Q25" s="63"/>
      <c r="R25" s="165"/>
      <c r="S25" s="46">
        <v>46255</v>
      </c>
      <c r="T25" s="28">
        <v>3.47</v>
      </c>
      <c r="U25" s="28">
        <v>7.5</v>
      </c>
      <c r="V25" s="28">
        <v>0</v>
      </c>
      <c r="W25" s="28">
        <v>0</v>
      </c>
      <c r="X25" s="51"/>
    </row>
    <row r="26" spans="1:24" ht="15.6" x14ac:dyDescent="0.3">
      <c r="A26" s="46">
        <v>46256</v>
      </c>
      <c r="B26" s="28">
        <v>2330</v>
      </c>
      <c r="C26" s="85">
        <f t="shared" si="1"/>
        <v>0.89615384615384619</v>
      </c>
      <c r="D26" s="49">
        <v>68</v>
      </c>
      <c r="E26" s="85">
        <f t="shared" si="6"/>
        <v>1.1333333333333333</v>
      </c>
      <c r="F26" s="49">
        <v>50</v>
      </c>
      <c r="G26" s="87">
        <f t="shared" si="3"/>
        <v>0.83333333333333337</v>
      </c>
      <c r="H26" s="28">
        <v>0</v>
      </c>
      <c r="I26" s="28">
        <v>0</v>
      </c>
      <c r="J26" s="28">
        <v>0</v>
      </c>
      <c r="K26" s="4">
        <f t="shared" si="5"/>
        <v>0</v>
      </c>
      <c r="L26" s="85">
        <f t="shared" si="2"/>
        <v>0</v>
      </c>
      <c r="M26" s="28">
        <v>0</v>
      </c>
      <c r="N26" s="28">
        <v>0</v>
      </c>
      <c r="O26" s="28">
        <v>0</v>
      </c>
      <c r="P26" s="61">
        <f t="shared" si="4"/>
        <v>1068</v>
      </c>
      <c r="Q26" s="63"/>
      <c r="R26" s="165"/>
      <c r="S26" s="46">
        <v>46256</v>
      </c>
      <c r="T26" s="28">
        <v>5.23</v>
      </c>
      <c r="U26" s="28">
        <v>0</v>
      </c>
      <c r="V26" s="28">
        <v>0</v>
      </c>
      <c r="W26" s="28">
        <v>0</v>
      </c>
      <c r="X26" s="51"/>
    </row>
    <row r="27" spans="1:24" x14ac:dyDescent="0.3">
      <c r="A27" s="46">
        <v>46257</v>
      </c>
      <c r="B27" s="32"/>
      <c r="C27" s="32"/>
      <c r="D27" s="77"/>
      <c r="E27" s="77"/>
      <c r="F27" s="77"/>
      <c r="G27" s="87">
        <f t="shared" si="3"/>
        <v>0</v>
      </c>
      <c r="H27" s="32">
        <v>87</v>
      </c>
      <c r="I27" s="32">
        <v>0</v>
      </c>
      <c r="J27" s="32">
        <v>9</v>
      </c>
      <c r="K27" s="32">
        <f t="shared" si="5"/>
        <v>96</v>
      </c>
      <c r="L27" s="85">
        <f t="shared" si="2"/>
        <v>0.35036496350364965</v>
      </c>
      <c r="M27" s="32"/>
      <c r="N27" s="32"/>
      <c r="O27" s="32"/>
      <c r="P27" s="32"/>
      <c r="Q27" s="79"/>
      <c r="R27" s="165"/>
      <c r="S27" s="46">
        <v>46257</v>
      </c>
      <c r="T27" s="32"/>
      <c r="U27" s="82"/>
      <c r="V27" s="32"/>
      <c r="W27" s="32"/>
      <c r="X27" s="47"/>
    </row>
    <row r="28" spans="1:24" ht="15.6" x14ac:dyDescent="0.3">
      <c r="A28" s="46">
        <v>46258</v>
      </c>
      <c r="B28" s="28">
        <v>2135</v>
      </c>
      <c r="C28" s="85">
        <f t="shared" si="1"/>
        <v>0.82115384615384612</v>
      </c>
      <c r="D28" s="49">
        <v>47</v>
      </c>
      <c r="E28" s="85">
        <f t="shared" si="6"/>
        <v>0.78333333333333333</v>
      </c>
      <c r="F28" s="49">
        <v>47</v>
      </c>
      <c r="G28" s="87">
        <f t="shared" si="3"/>
        <v>0.78333333333333333</v>
      </c>
      <c r="H28" s="28">
        <v>0</v>
      </c>
      <c r="I28" s="28">
        <v>0</v>
      </c>
      <c r="J28" s="28">
        <v>8</v>
      </c>
      <c r="K28" s="4">
        <f t="shared" si="5"/>
        <v>8</v>
      </c>
      <c r="L28" s="85">
        <f t="shared" si="2"/>
        <v>2.9197080291970802E-2</v>
      </c>
      <c r="M28" s="28">
        <v>0</v>
      </c>
      <c r="N28" s="28">
        <v>51</v>
      </c>
      <c r="O28" s="28">
        <v>39</v>
      </c>
      <c r="P28" s="61">
        <f t="shared" si="4"/>
        <v>1080</v>
      </c>
      <c r="Q28" s="66"/>
      <c r="R28" s="165"/>
      <c r="S28" s="46">
        <v>46258</v>
      </c>
      <c r="T28" s="28">
        <v>1.97</v>
      </c>
      <c r="U28" s="28">
        <v>0</v>
      </c>
      <c r="V28" s="28">
        <v>0</v>
      </c>
      <c r="W28" s="28">
        <v>10</v>
      </c>
      <c r="X28" s="50"/>
    </row>
    <row r="29" spans="1:24" ht="43.2" x14ac:dyDescent="0.3">
      <c r="A29" s="46">
        <v>46259</v>
      </c>
      <c r="B29" s="28">
        <v>2067</v>
      </c>
      <c r="C29" s="85">
        <f t="shared" si="1"/>
        <v>0.79500000000000004</v>
      </c>
      <c r="D29" s="49">
        <v>61</v>
      </c>
      <c r="E29" s="85">
        <f t="shared" si="6"/>
        <v>1.0166666666666666</v>
      </c>
      <c r="F29" s="52">
        <v>30</v>
      </c>
      <c r="G29" s="87">
        <f t="shared" si="3"/>
        <v>0.5</v>
      </c>
      <c r="H29" s="28">
        <v>0</v>
      </c>
      <c r="I29" s="28">
        <v>0</v>
      </c>
      <c r="J29" s="28">
        <v>0</v>
      </c>
      <c r="K29" s="4">
        <f t="shared" si="5"/>
        <v>0</v>
      </c>
      <c r="L29" s="85">
        <f t="shared" si="2"/>
        <v>0</v>
      </c>
      <c r="M29" s="28">
        <v>0</v>
      </c>
      <c r="N29" s="28">
        <v>0</v>
      </c>
      <c r="O29" s="28">
        <v>0</v>
      </c>
      <c r="P29" s="61">
        <f t="shared" si="4"/>
        <v>1080</v>
      </c>
      <c r="Q29" s="140" t="s">
        <v>84</v>
      </c>
      <c r="R29" s="165"/>
      <c r="S29" s="46">
        <v>46259</v>
      </c>
      <c r="T29" s="28">
        <f>3206.2/1000</f>
        <v>3.2061999999999999</v>
      </c>
      <c r="U29" s="28">
        <v>0</v>
      </c>
      <c r="V29" s="28">
        <v>0</v>
      </c>
      <c r="W29" s="28">
        <v>0</v>
      </c>
      <c r="X29" s="51"/>
    </row>
    <row r="30" spans="1:24" ht="93.6" x14ac:dyDescent="0.3">
      <c r="A30" s="46">
        <v>46260</v>
      </c>
      <c r="B30" s="28">
        <v>1856</v>
      </c>
      <c r="C30" s="85">
        <f t="shared" si="1"/>
        <v>0.7138461538461538</v>
      </c>
      <c r="D30" s="147">
        <v>54</v>
      </c>
      <c r="E30" s="85">
        <f t="shared" si="6"/>
        <v>0.9</v>
      </c>
      <c r="F30" s="147">
        <v>53</v>
      </c>
      <c r="G30" s="87">
        <f t="shared" si="3"/>
        <v>0.8833333333333333</v>
      </c>
      <c r="H30" s="28">
        <v>0</v>
      </c>
      <c r="I30" s="28">
        <v>90</v>
      </c>
      <c r="J30" s="28">
        <v>0</v>
      </c>
      <c r="K30" s="148">
        <f>SUM(H30:J30)</f>
        <v>90</v>
      </c>
      <c r="L30" s="85">
        <f t="shared" si="2"/>
        <v>0.32846715328467152</v>
      </c>
      <c r="M30" s="28">
        <v>0</v>
      </c>
      <c r="N30" s="28">
        <v>40</v>
      </c>
      <c r="O30" s="28">
        <v>167</v>
      </c>
      <c r="P30" s="61">
        <f t="shared" si="4"/>
        <v>953</v>
      </c>
      <c r="Q30" s="149" t="s">
        <v>94</v>
      </c>
      <c r="R30" s="165"/>
      <c r="S30" s="46">
        <v>46260</v>
      </c>
      <c r="T30" s="28">
        <f>1918.2/1000</f>
        <v>1.9182000000000001</v>
      </c>
      <c r="U30" s="28">
        <v>10.119999999999999</v>
      </c>
      <c r="V30" s="28">
        <v>6.42</v>
      </c>
      <c r="W30" s="28">
        <v>0</v>
      </c>
      <c r="X30" s="50"/>
    </row>
    <row r="31" spans="1:24" ht="15.6" x14ac:dyDescent="0.3">
      <c r="A31" s="46">
        <v>46261</v>
      </c>
      <c r="B31" s="28">
        <v>2176</v>
      </c>
      <c r="C31" s="85">
        <f t="shared" si="1"/>
        <v>0.83692307692307688</v>
      </c>
      <c r="D31" s="49">
        <v>55</v>
      </c>
      <c r="E31" s="85">
        <f t="shared" si="6"/>
        <v>0.91666666666666663</v>
      </c>
      <c r="F31" s="49" t="s">
        <v>95</v>
      </c>
      <c r="G31" s="87">
        <f t="shared" si="3"/>
        <v>0</v>
      </c>
      <c r="H31" s="28">
        <v>0</v>
      </c>
      <c r="I31" s="28">
        <v>0</v>
      </c>
      <c r="J31" s="28">
        <v>0</v>
      </c>
      <c r="K31" s="148">
        <f t="shared" ref="K31:K35" si="7">SUM(H31:J31)</f>
        <v>0</v>
      </c>
      <c r="L31" s="85">
        <f t="shared" si="2"/>
        <v>0</v>
      </c>
      <c r="M31" s="28">
        <v>0</v>
      </c>
      <c r="N31" s="28">
        <v>0</v>
      </c>
      <c r="O31" s="28">
        <v>13</v>
      </c>
      <c r="P31" s="61">
        <f t="shared" si="4"/>
        <v>940</v>
      </c>
      <c r="Q31" s="63"/>
      <c r="R31" s="165"/>
      <c r="S31" s="46">
        <v>46261</v>
      </c>
      <c r="T31" s="28">
        <f>642.8/1000</f>
        <v>0.64279999999999993</v>
      </c>
      <c r="U31" s="28">
        <v>0</v>
      </c>
      <c r="V31" s="28">
        <v>0</v>
      </c>
      <c r="W31" s="28">
        <v>7</v>
      </c>
      <c r="X31" s="51"/>
    </row>
    <row r="32" spans="1:24" ht="15.6" x14ac:dyDescent="0.3">
      <c r="A32" s="46">
        <v>46262</v>
      </c>
      <c r="B32" s="28">
        <v>0</v>
      </c>
      <c r="C32" s="85">
        <v>0</v>
      </c>
      <c r="D32" s="49">
        <v>0</v>
      </c>
      <c r="E32" s="85">
        <f t="shared" si="6"/>
        <v>0</v>
      </c>
      <c r="F32" s="49">
        <v>0</v>
      </c>
      <c r="G32" s="87">
        <v>0</v>
      </c>
      <c r="H32" s="28">
        <v>0</v>
      </c>
      <c r="I32" s="28">
        <v>0</v>
      </c>
      <c r="J32" s="28">
        <v>0</v>
      </c>
      <c r="K32" s="148">
        <f t="shared" si="7"/>
        <v>0</v>
      </c>
      <c r="L32" s="85">
        <f t="shared" si="2"/>
        <v>0</v>
      </c>
      <c r="M32" s="28">
        <v>0</v>
      </c>
      <c r="N32" s="28">
        <v>0</v>
      </c>
      <c r="O32" s="28">
        <v>0</v>
      </c>
      <c r="P32" s="61">
        <f t="shared" si="4"/>
        <v>940</v>
      </c>
      <c r="Q32" s="63"/>
      <c r="R32" s="165"/>
      <c r="S32" s="46">
        <v>46262</v>
      </c>
      <c r="T32" s="28">
        <v>0</v>
      </c>
      <c r="U32" s="28">
        <v>0</v>
      </c>
      <c r="V32" s="28">
        <v>0</v>
      </c>
      <c r="W32" s="28">
        <v>0</v>
      </c>
      <c r="X32" s="51"/>
    </row>
    <row r="33" spans="1:24" ht="28.8" x14ac:dyDescent="0.3">
      <c r="A33" s="46">
        <v>46263</v>
      </c>
      <c r="B33" s="28">
        <v>856</v>
      </c>
      <c r="C33" s="85">
        <f t="shared" si="1"/>
        <v>0.32923076923076922</v>
      </c>
      <c r="D33" s="49">
        <v>33</v>
      </c>
      <c r="E33" s="85">
        <f t="shared" si="6"/>
        <v>0.55000000000000004</v>
      </c>
      <c r="F33" s="49">
        <v>45</v>
      </c>
      <c r="G33" s="87">
        <f t="shared" si="3"/>
        <v>0.75</v>
      </c>
      <c r="H33" s="28">
        <v>96</v>
      </c>
      <c r="I33" s="28">
        <v>0</v>
      </c>
      <c r="J33" s="28">
        <v>0</v>
      </c>
      <c r="K33" s="148">
        <f t="shared" si="7"/>
        <v>96</v>
      </c>
      <c r="L33" s="85">
        <f t="shared" si="2"/>
        <v>0.35036496350364965</v>
      </c>
      <c r="M33" s="28">
        <v>0</v>
      </c>
      <c r="N33" s="28">
        <v>0</v>
      </c>
      <c r="O33" s="28">
        <v>83</v>
      </c>
      <c r="P33" s="61">
        <f t="shared" si="4"/>
        <v>857</v>
      </c>
      <c r="Q33" s="150" t="s">
        <v>96</v>
      </c>
      <c r="R33" s="165"/>
      <c r="S33" s="46">
        <v>46263</v>
      </c>
      <c r="T33" s="28">
        <f>2246/1000</f>
        <v>2.246</v>
      </c>
      <c r="U33" s="28">
        <v>0</v>
      </c>
      <c r="V33" s="28">
        <v>0</v>
      </c>
      <c r="W33" s="28">
        <v>3</v>
      </c>
      <c r="X33" s="51"/>
    </row>
    <row r="34" spans="1:24" ht="15.6" x14ac:dyDescent="0.3">
      <c r="A34" s="46">
        <v>46264</v>
      </c>
      <c r="B34" s="32"/>
      <c r="C34" s="85">
        <f>IFERROR($B34/$B$3,0)</f>
        <v>0</v>
      </c>
      <c r="D34" s="77"/>
      <c r="E34" s="85">
        <f t="shared" si="6"/>
        <v>0</v>
      </c>
      <c r="F34" s="80"/>
      <c r="G34" s="87">
        <f t="shared" si="3"/>
        <v>0</v>
      </c>
      <c r="H34" s="32"/>
      <c r="I34" s="32"/>
      <c r="J34" s="32"/>
      <c r="K34" s="32"/>
      <c r="L34" s="85">
        <f t="shared" si="2"/>
        <v>0</v>
      </c>
      <c r="M34" s="32"/>
      <c r="N34" s="32"/>
      <c r="O34" s="32"/>
      <c r="P34" s="61">
        <f t="shared" si="4"/>
        <v>857</v>
      </c>
      <c r="Q34" s="79"/>
      <c r="R34" s="165"/>
      <c r="S34" s="46">
        <v>46264</v>
      </c>
      <c r="T34" s="32"/>
      <c r="U34" s="32"/>
      <c r="V34" s="32"/>
      <c r="W34" s="32"/>
      <c r="X34" s="81"/>
    </row>
    <row r="35" spans="1:24" ht="16.2" thickBot="1" x14ac:dyDescent="0.35">
      <c r="A35" s="67">
        <v>46265</v>
      </c>
      <c r="B35" s="53">
        <v>1126</v>
      </c>
      <c r="C35" s="85">
        <f t="shared" si="1"/>
        <v>0.43307692307692308</v>
      </c>
      <c r="D35" s="54">
        <v>16</v>
      </c>
      <c r="E35" s="85">
        <f t="shared" si="6"/>
        <v>0.26666666666666666</v>
      </c>
      <c r="F35" s="68">
        <v>40</v>
      </c>
      <c r="G35" s="87">
        <f t="shared" si="3"/>
        <v>0.66666666666666663</v>
      </c>
      <c r="H35" s="53">
        <v>0</v>
      </c>
      <c r="I35" s="53">
        <v>84</v>
      </c>
      <c r="J35" s="53">
        <v>0</v>
      </c>
      <c r="K35" s="148">
        <f t="shared" si="7"/>
        <v>84</v>
      </c>
      <c r="L35" s="85">
        <f t="shared" si="2"/>
        <v>0.30656934306569344</v>
      </c>
      <c r="M35" s="53">
        <v>60</v>
      </c>
      <c r="N35" s="53">
        <v>0</v>
      </c>
      <c r="O35" s="53">
        <v>10</v>
      </c>
      <c r="P35" s="61">
        <f t="shared" si="4"/>
        <v>907</v>
      </c>
      <c r="Q35" s="69"/>
      <c r="R35" s="165"/>
      <c r="S35" s="46">
        <v>46265</v>
      </c>
      <c r="T35" s="35">
        <f>2369.7/1000</f>
        <v>2.3696999999999999</v>
      </c>
      <c r="U35" s="35">
        <v>0</v>
      </c>
      <c r="V35" s="35">
        <v>0</v>
      </c>
      <c r="W35" s="35">
        <v>0</v>
      </c>
      <c r="X35" s="74"/>
    </row>
    <row r="36" spans="1:24" ht="16.2" thickBot="1" x14ac:dyDescent="0.35">
      <c r="A36" s="48" t="s">
        <v>13</v>
      </c>
      <c r="B36" s="55">
        <f>SUM(B4:B35)</f>
        <v>57391</v>
      </c>
      <c r="C36" s="56"/>
      <c r="D36" s="71">
        <f>SUM(D4:D35)</f>
        <v>827</v>
      </c>
      <c r="E36" s="56"/>
      <c r="F36" s="71">
        <f>SUM(F4:F35)</f>
        <v>830</v>
      </c>
      <c r="G36" s="58"/>
      <c r="H36" s="55">
        <f>SUM(H4:H35)</f>
        <v>433</v>
      </c>
      <c r="I36" s="55">
        <f>SUM(I4:I35)</f>
        <v>517</v>
      </c>
      <c r="J36" s="55">
        <f>SUM(J4:J35)</f>
        <v>117</v>
      </c>
      <c r="K36" s="9"/>
      <c r="L36" s="59"/>
      <c r="M36" s="55">
        <f>SUM(M4:M35)</f>
        <v>60</v>
      </c>
      <c r="N36" s="55">
        <f>SUM(N4:N35)</f>
        <v>1678</v>
      </c>
      <c r="O36" s="55">
        <f>SUM(O5:O35)</f>
        <v>831</v>
      </c>
      <c r="P36" s="55"/>
      <c r="Q36" s="60"/>
      <c r="R36" s="165"/>
      <c r="S36" s="37" t="s">
        <v>22</v>
      </c>
      <c r="T36" s="38">
        <f>SUM(T4:T35)</f>
        <v>56.948100000000011</v>
      </c>
      <c r="U36" s="38">
        <f>SUM(U4:U35)</f>
        <v>31.189999999999998</v>
      </c>
      <c r="V36" s="38">
        <f>SUM(V4:V35)</f>
        <v>68.510000000000005</v>
      </c>
      <c r="W36" s="38">
        <f>SUM(W4:W35)</f>
        <v>45</v>
      </c>
      <c r="X36" s="75"/>
    </row>
    <row r="37" spans="1:24" ht="16.2" thickBot="1" x14ac:dyDescent="0.35">
      <c r="A37" s="48" t="s">
        <v>14</v>
      </c>
      <c r="B37" s="55">
        <f>SUM(B5:B35)</f>
        <v>57391</v>
      </c>
      <c r="C37" s="56">
        <f>B37/67600</f>
        <v>0.84897928994082839</v>
      </c>
      <c r="D37" s="71">
        <f>SUM(D5:D35)</f>
        <v>827</v>
      </c>
      <c r="E37" s="56">
        <f>$D$37/1560</f>
        <v>0.53012820512820513</v>
      </c>
      <c r="F37" s="71">
        <f>SUM(F5:F35)</f>
        <v>830</v>
      </c>
      <c r="G37" s="58">
        <f>F37/1560</f>
        <v>0.53205128205128205</v>
      </c>
      <c r="H37" s="55">
        <f>SUM(H5:H35)</f>
        <v>371</v>
      </c>
      <c r="I37" s="55">
        <f>SUM(I5:I35)</f>
        <v>427</v>
      </c>
      <c r="J37" s="55">
        <f>SUM(J5:J35)</f>
        <v>117</v>
      </c>
      <c r="K37" s="9"/>
      <c r="L37" s="59"/>
      <c r="M37" s="55">
        <f>SUM(M5:M35)</f>
        <v>60</v>
      </c>
      <c r="N37" s="55">
        <f>SUM(N5:N35)</f>
        <v>915</v>
      </c>
      <c r="O37" s="70">
        <f>SUMIF(O5:O35,"&gt;0")</f>
        <v>831</v>
      </c>
      <c r="P37" s="55"/>
      <c r="Q37" s="60"/>
      <c r="R37" s="165"/>
      <c r="S37" s="40" t="s">
        <v>23</v>
      </c>
      <c r="T37" s="41">
        <f>T36-T4</f>
        <v>56.948100000000011</v>
      </c>
      <c r="U37" s="41">
        <f t="shared" ref="U37:W37" si="8">U36-U4</f>
        <v>31.189999999999998</v>
      </c>
      <c r="V37" s="151">
        <f>SUM(V5:V35)</f>
        <v>47.150000000000006</v>
      </c>
      <c r="W37" s="41">
        <f t="shared" si="8"/>
        <v>45</v>
      </c>
      <c r="X37" s="76"/>
    </row>
    <row r="38" spans="1:24" ht="16.2" thickBot="1" x14ac:dyDescent="0.35">
      <c r="A38" s="48" t="s">
        <v>24</v>
      </c>
      <c r="B38" s="43"/>
      <c r="C38" s="57"/>
      <c r="D38" s="57"/>
      <c r="E38" s="57"/>
      <c r="F38" s="57"/>
      <c r="G38" s="58"/>
      <c r="H38" s="44"/>
      <c r="I38" s="44"/>
      <c r="J38" s="44"/>
      <c r="K38" s="9"/>
      <c r="L38" s="72"/>
      <c r="M38" s="44"/>
      <c r="N38" s="44"/>
      <c r="O38" s="44"/>
      <c r="P38" s="44"/>
      <c r="Q38" s="73"/>
      <c r="R38" s="165"/>
    </row>
  </sheetData>
  <mergeCells count="6">
    <mergeCell ref="A1:Q1"/>
    <mergeCell ref="B2:C2"/>
    <mergeCell ref="D2:E2"/>
    <mergeCell ref="F2:G2"/>
    <mergeCell ref="S1:X1"/>
    <mergeCell ref="R1:R38"/>
  </mergeCells>
  <conditionalFormatting sqref="C2:C12 C14:C19 C21:C26 C28:C29 C36">
    <cfRule type="cellIs" dxfId="50" priority="55" operator="between">
      <formula>0.9</formula>
      <formula>1</formula>
    </cfRule>
  </conditionalFormatting>
  <conditionalFormatting sqref="C2:C12 C14:C19 C21:C26 C28:C29 E2:E5 C38">
    <cfRule type="cellIs" dxfId="49" priority="48" operator="equal">
      <formula>0</formula>
    </cfRule>
  </conditionalFormatting>
  <conditionalFormatting sqref="C5:C12 C14:C19 C21:C26 C28:C29 C36">
    <cfRule type="cellIs" dxfId="48" priority="58" operator="lessThan">
      <formula>0.9</formula>
    </cfRule>
  </conditionalFormatting>
  <conditionalFormatting sqref="C5:C12 C14:C19 C21:C26 C28:C29">
    <cfRule type="cellIs" dxfId="47" priority="40" operator="lessThan">
      <formula>90</formula>
    </cfRule>
    <cfRule type="cellIs" dxfId="46" priority="56" stopIfTrue="1" operator="greaterThan">
      <formula>100</formula>
    </cfRule>
  </conditionalFormatting>
  <conditionalFormatting sqref="C5:C12 C14:C19 C21:C26">
    <cfRule type="cellIs" dxfId="45" priority="39" operator="equal">
      <formula>""""""</formula>
    </cfRule>
    <cfRule type="cellIs" dxfId="44" priority="37" operator="equal">
      <formula>0</formula>
    </cfRule>
  </conditionalFormatting>
  <conditionalFormatting sqref="C5:C29">
    <cfRule type="cellIs" dxfId="43" priority="41" stopIfTrue="1" operator="greaterThan">
      <formula>100</formula>
    </cfRule>
  </conditionalFormatting>
  <conditionalFormatting sqref="C5:C35">
    <cfRule type="cellIs" dxfId="42" priority="5" operator="greaterThan">
      <formula>1</formula>
    </cfRule>
  </conditionalFormatting>
  <conditionalFormatting sqref="C28:C35">
    <cfRule type="cellIs" dxfId="41" priority="12" operator="equal">
      <formula>""""""</formula>
    </cfRule>
  </conditionalFormatting>
  <conditionalFormatting sqref="C28:C36">
    <cfRule type="cellIs" dxfId="40" priority="20" operator="equal">
      <formula>0</formula>
    </cfRule>
  </conditionalFormatting>
  <conditionalFormatting sqref="C30:C35">
    <cfRule type="cellIs" dxfId="39" priority="13" operator="lessThan">
      <formula>90</formula>
    </cfRule>
    <cfRule type="cellIs" dxfId="38" priority="23" stopIfTrue="1" operator="between">
      <formula>90</formula>
      <formula>99</formula>
    </cfRule>
    <cfRule type="cellIs" dxfId="37" priority="24" stopIfTrue="1" operator="greaterThan">
      <formula>100</formula>
    </cfRule>
    <cfRule type="cellIs" dxfId="36" priority="4" operator="equal">
      <formula>100</formula>
    </cfRule>
    <cfRule type="cellIs" dxfId="35" priority="11" operator="equal">
      <formula>0</formula>
    </cfRule>
    <cfRule type="cellIs" dxfId="34" priority="14" stopIfTrue="1" operator="greaterThan">
      <formula>100</formula>
    </cfRule>
  </conditionalFormatting>
  <conditionalFormatting sqref="E5 E7:E26 E28:E29">
    <cfRule type="cellIs" dxfId="33" priority="52" operator="between">
      <formula>0.9</formula>
      <formula>1</formula>
    </cfRule>
    <cfRule type="cellIs" dxfId="32" priority="36" operator="greaterThan">
      <formula>100</formula>
    </cfRule>
    <cfRule type="cellIs" dxfId="31" priority="35" operator="lessThan">
      <formula>90</formula>
    </cfRule>
    <cfRule type="cellIs" dxfId="30" priority="33" operator="between">
      <formula>90</formula>
      <formula>100</formula>
    </cfRule>
    <cfRule type="cellIs" dxfId="29" priority="53" operator="lessThan">
      <formula>0.9</formula>
    </cfRule>
    <cfRule type="cellIs" dxfId="28" priority="54" operator="greaterThan">
      <formula>1</formula>
    </cfRule>
  </conditionalFormatting>
  <conditionalFormatting sqref="E5 E7:E26">
    <cfRule type="cellIs" dxfId="27" priority="34" operator="equal">
      <formula>0</formula>
    </cfRule>
  </conditionalFormatting>
  <conditionalFormatting sqref="E7:E26 E28:E29">
    <cfRule type="cellIs" dxfId="26" priority="47" operator="equal">
      <formula>0</formula>
    </cfRule>
  </conditionalFormatting>
  <conditionalFormatting sqref="E28:E38">
    <cfRule type="cellIs" dxfId="25" priority="10" operator="equal">
      <formula>0</formula>
    </cfRule>
  </conditionalFormatting>
  <conditionalFormatting sqref="E30:E35">
    <cfRule type="cellIs" dxfId="24" priority="2" operator="lessThan">
      <formula>0.9</formula>
    </cfRule>
    <cfRule type="cellIs" dxfId="23" priority="3" operator="greaterThan">
      <formula>1</formula>
    </cfRule>
    <cfRule type="cellIs" dxfId="22" priority="22" operator="between">
      <formula>0.9</formula>
      <formula>1</formula>
    </cfRule>
    <cfRule type="cellIs" dxfId="21" priority="1" operator="equal">
      <formula>0</formula>
    </cfRule>
  </conditionalFormatting>
  <conditionalFormatting sqref="G5">
    <cfRule type="cellIs" dxfId="20" priority="42" operator="equal">
      <formula>0</formula>
    </cfRule>
    <cfRule type="cellIs" dxfId="19" priority="44" operator="lessThan">
      <formula>0.9</formula>
    </cfRule>
    <cfRule type="cellIs" dxfId="18" priority="45" operator="greaterThan">
      <formula>1</formula>
    </cfRule>
  </conditionalFormatting>
  <conditionalFormatting sqref="G7:G29 G5">
    <cfRule type="cellIs" dxfId="17" priority="43" operator="between">
      <formula>0.9</formula>
      <formula>1</formula>
    </cfRule>
  </conditionalFormatting>
  <conditionalFormatting sqref="G7:G35">
    <cfRule type="cellIs" dxfId="16" priority="18" operator="greaterThan">
      <formula>1</formula>
    </cfRule>
    <cfRule type="cellIs" dxfId="15" priority="17" operator="lessThan">
      <formula>0.9</formula>
    </cfRule>
    <cfRule type="cellIs" dxfId="14" priority="15" operator="equal">
      <formula>0</formula>
    </cfRule>
  </conditionalFormatting>
  <conditionalFormatting sqref="G9">
    <cfRule type="cellIs" dxfId="13" priority="25" operator="equal">
      <formula>1</formula>
    </cfRule>
  </conditionalFormatting>
  <conditionalFormatting sqref="G30:G35">
    <cfRule type="cellIs" dxfId="12" priority="16" operator="between">
      <formula>0.9</formula>
      <formula>1</formula>
    </cfRule>
  </conditionalFormatting>
  <conditionalFormatting sqref="I28">
    <cfRule type="cellIs" dxfId="11" priority="38" operator="between">
      <formula>90</formula>
      <formula>100</formula>
    </cfRule>
  </conditionalFormatting>
  <conditionalFormatting sqref="L2:L29">
    <cfRule type="cellIs" dxfId="10" priority="46" operator="equal">
      <formula>0</formula>
    </cfRule>
  </conditionalFormatting>
  <conditionalFormatting sqref="L5:L29">
    <cfRule type="cellIs" dxfId="9" priority="29" operator="equal">
      <formula>0</formula>
    </cfRule>
    <cfRule type="cellIs" dxfId="8" priority="31" operator="lessThan">
      <formula>90</formula>
    </cfRule>
    <cfRule type="cellIs" dxfId="7" priority="50" operator="lessThan">
      <formula>90</formula>
    </cfRule>
  </conditionalFormatting>
  <conditionalFormatting sqref="L5:L35">
    <cfRule type="cellIs" dxfId="6" priority="7" operator="between">
      <formula>90</formula>
      <formula>100</formula>
    </cfRule>
    <cfRule type="cellIs" dxfId="5" priority="9" operator="greaterThan">
      <formula>100</formula>
    </cfRule>
  </conditionalFormatting>
  <conditionalFormatting sqref="L7">
    <cfRule type="cellIs" dxfId="4" priority="26" operator="equal">
      <formula>0</formula>
    </cfRule>
  </conditionalFormatting>
  <conditionalFormatting sqref="L30:L35">
    <cfRule type="cellIs" dxfId="3" priority="8" operator="lessThan">
      <formula>90</formula>
    </cfRule>
    <cfRule type="cellIs" dxfId="2" priority="6" operator="equal">
      <formula>0</formula>
    </cfRule>
    <cfRule type="cellIs" dxfId="1" priority="21" operator="lessThan">
      <formula>90</formula>
    </cfRule>
  </conditionalFormatting>
  <conditionalFormatting sqref="L30:L38">
    <cfRule type="cellIs" dxfId="0" priority="19" operator="equal">
      <formula>0</formula>
    </cfRule>
  </conditionalFormatting>
  <pageMargins left="0.31" right="0.41" top="0.75" bottom="0.75" header="0.3" footer="0.3"/>
  <pageSetup paperSize="9" scale="81" orientation="portrait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 + Reactor Status</vt:lpstr>
      <vt:lpstr>CAP + STRUCTURE Status</vt:lpstr>
      <vt:lpstr>'CAP + STRUCTURE Status'!Print_Area</vt:lpstr>
      <vt:lpstr>'DR + Reactor Status'!Print_Area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Sourabh Panchal</cp:lastModifiedBy>
  <cp:lastPrinted>2026-08-03T04:41:22Z</cp:lastPrinted>
  <dcterms:created xsi:type="dcterms:W3CDTF">2026-08-01T10:52:43Z</dcterms:created>
  <dcterms:modified xsi:type="dcterms:W3CDTF">2026-09-05T12:18:57Z</dcterms:modified>
</cp:coreProperties>
</file>